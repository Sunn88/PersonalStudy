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5년대비작업\01 퀵이지\02 컴활1급필기\실습파일\2과목\"/>
    </mc:Choice>
  </mc:AlternateContent>
  <xr:revisionPtr revIDLastSave="0" documentId="13_ncr:1_{A21A3B4E-2A4C-4C33-93AC-79334342D13A}" xr6:coauthVersionLast="47" xr6:coauthVersionMax="47" xr10:uidLastSave="{00000000-0000-0000-0000-000000000000}"/>
  <bookViews>
    <workbookView xWindow="19200" yWindow="450" windowWidth="19170" windowHeight="20550" tabRatio="832" xr2:uid="{0CFB8DB1-73CF-446B-B31C-C4F31668A6FA}"/>
  </bookViews>
  <sheets>
    <sheet name="섹션071" sheetId="2" r:id="rId1"/>
    <sheet name="섹션075" sheetId="3" r:id="rId2"/>
    <sheet name="섹션076-1" sheetId="4" r:id="rId3"/>
    <sheet name="섹션076-2" sheetId="6" r:id="rId4"/>
    <sheet name="섹션076-3" sheetId="8" r:id="rId5"/>
    <sheet name="섹션076-4" sheetId="10" r:id="rId6"/>
    <sheet name="섹션077-1" sheetId="12" r:id="rId7"/>
    <sheet name="섹션077-2" sheetId="14" r:id="rId8"/>
    <sheet name="섹션079" sheetId="16" r:id="rId9"/>
    <sheet name="섹션080-1" sheetId="18" r:id="rId10"/>
    <sheet name="섹션080-2" sheetId="19" r:id="rId11"/>
    <sheet name="섹션081" sheetId="22" r:id="rId12"/>
    <sheet name="섹션082-1" sheetId="24" r:id="rId13"/>
    <sheet name="섹션082-2" sheetId="25" r:id="rId14"/>
    <sheet name="섹션082-3" sheetId="27" r:id="rId15"/>
    <sheet name="섹션082-4" sheetId="28" r:id="rId16"/>
    <sheet name="섹션083" sheetId="30" r:id="rId17"/>
    <sheet name="섹션085-1" sheetId="32" r:id="rId18"/>
    <sheet name="섹션085-2" sheetId="33" r:id="rId19"/>
    <sheet name="섹션086" sheetId="36" r:id="rId20"/>
    <sheet name="섹션087" sheetId="38" r:id="rId21"/>
    <sheet name="섹션088" sheetId="40" r:id="rId22"/>
    <sheet name="섹션089-1" sheetId="42" r:id="rId23"/>
    <sheet name="섹션089-2" sheetId="44" r:id="rId24"/>
    <sheet name="섹션091" sheetId="46" r:id="rId25"/>
    <sheet name="섹션092" sheetId="48" r:id="rId26"/>
    <sheet name="섹션093-1" sheetId="50" r:id="rId27"/>
    <sheet name="섹션093-2" sheetId="52" r:id="rId28"/>
    <sheet name="섹션094" sheetId="54" r:id="rId29"/>
    <sheet name="섹션095" sheetId="56" r:id="rId30"/>
    <sheet name="섹션096-1" sheetId="59" r:id="rId31"/>
    <sheet name="섹션096-2" sheetId="60" r:id="rId32"/>
    <sheet name="섹션097" sheetId="68" r:id="rId33"/>
    <sheet name="섹션098" sheetId="69" r:id="rId34"/>
    <sheet name="섹션099" sheetId="73" r:id="rId35"/>
    <sheet name="섹션100" sheetId="76" r:id="rId36"/>
    <sheet name="섹션101" sheetId="66" r:id="rId37"/>
  </sheets>
  <externalReferences>
    <externalReference r:id="rId38"/>
  </externalReferences>
  <definedNames>
    <definedName name="_xlnm._FilterDatabase" localSheetId="26" hidden="1">'섹션093-1'!#REF!</definedName>
    <definedName name="_xlnm._FilterDatabase" localSheetId="27" hidden="1">'섹션093-2'!#REF!</definedName>
    <definedName name="_xlnm._FilterDatabase" localSheetId="29" hidden="1">섹션095!#REF!</definedName>
    <definedName name="_xlnm._FilterDatabase" localSheetId="30" hidden="1">'섹션096-1'!#REF!</definedName>
    <definedName name="area" localSheetId="12">#REF!</definedName>
    <definedName name="area" localSheetId="13">#REF!</definedName>
    <definedName name="area" localSheetId="15">#REF!</definedName>
    <definedName name="area">#REF!</definedName>
    <definedName name="_xlnm.Criteria" localSheetId="26">'섹션093-1'!#REF!</definedName>
    <definedName name="_xlnm.Criteria" localSheetId="27">'섹션093-2'!#REF!</definedName>
    <definedName name="_xlnm.Criteria" localSheetId="29">섹션095!#REF!</definedName>
    <definedName name="_xlnm.Criteria" localSheetId="30">'섹션096-1'!#REF!</definedName>
    <definedName name="_xlnm.Extract" localSheetId="26">'섹션093-1'!#REF!</definedName>
    <definedName name="_xlnm.Extract" localSheetId="27">'섹션093-2'!#REF!</definedName>
    <definedName name="_xlnm.Extract" localSheetId="29">섹션095!#REF!</definedName>
    <definedName name="_xlnm.Extract" localSheetId="30">'섹션096-1'!#REF!</definedName>
    <definedName name="scores" localSheetId="12">#REF!</definedName>
    <definedName name="scores" localSheetId="13">#REF!</definedName>
    <definedName name="scores" localSheetId="15">#REF!</definedName>
    <definedName name="SCORES">'[1]111'!$A$1:$A$6</definedName>
    <definedName name="고객구분" localSheetId="12">#REF!</definedName>
    <definedName name="고객구분" localSheetId="13">#REF!</definedName>
    <definedName name="고객구분" localSheetId="15">#REF!</definedName>
    <definedName name="고객구분">'[1]112'!$B$2:$B$7</definedName>
    <definedName name="금액">#REF!</definedName>
    <definedName name="점수" localSheetId="12">#REF!</definedName>
    <definedName name="점수" localSheetId="13">#REF!</definedName>
    <definedName name="점수" localSheetId="15">#REF!</definedName>
    <definedName name="점수">'[1]111 (5)'!$B$2:$D$6</definedName>
    <definedName name="지역" localSheetId="12">#REF!</definedName>
    <definedName name="지역" localSheetId="13">#REF!</definedName>
    <definedName name="지역" localSheetId="15">#REF!</definedName>
    <definedName name="지역">'[1]112'!$C$2:$C$7</definedName>
  </definedNames>
  <calcPr calcId="191029"/>
  <pivotCaches>
    <pivotCache cacheId="0" r:id="rId3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" l="1"/>
  <c r="D4" i="2"/>
  <c r="D3" i="2"/>
  <c r="D2" i="2"/>
  <c r="B5" i="73" l="1"/>
  <c r="F8" i="69"/>
  <c r="F7" i="69"/>
  <c r="F6" i="69"/>
  <c r="F5" i="69"/>
  <c r="F4" i="69"/>
  <c r="F8" i="68"/>
  <c r="F7" i="68"/>
  <c r="F6" i="68"/>
  <c r="F5" i="68"/>
  <c r="F4" i="68"/>
  <c r="G3" i="46" l="1"/>
  <c r="D8" i="28"/>
  <c r="E8" i="28" s="1"/>
  <c r="D7" i="28"/>
  <c r="E7" i="28" s="1"/>
  <c r="D6" i="28"/>
  <c r="E6" i="28" s="1"/>
  <c r="D5" i="28"/>
  <c r="E5" i="28" s="1"/>
  <c r="D4" i="28"/>
  <c r="E4" i="28" s="1"/>
  <c r="E12" i="12"/>
  <c r="E11" i="12"/>
  <c r="E10" i="12"/>
  <c r="E9" i="12"/>
  <c r="E8" i="12"/>
  <c r="E7" i="12"/>
  <c r="E6" i="12"/>
  <c r="E5" i="12"/>
  <c r="E4" i="12"/>
  <c r="D8" i="10"/>
  <c r="D7" i="10"/>
  <c r="D6" i="10"/>
  <c r="D5" i="10"/>
  <c r="D4" i="10"/>
  <c r="D3" i="10"/>
  <c r="E7" i="8"/>
  <c r="E6" i="8"/>
  <c r="E5" i="8"/>
  <c r="E4" i="8"/>
  <c r="E3" i="8"/>
</calcChain>
</file>

<file path=xl/sharedStrings.xml><?xml version="1.0" encoding="utf-8"?>
<sst xmlns="http://schemas.openxmlformats.org/spreadsheetml/2006/main" count="685" uniqueCount="343">
  <si>
    <t>이름</t>
  </si>
  <si>
    <t>1과목</t>
    <phoneticPr fontId="2" type="noConversion"/>
  </si>
  <si>
    <t>2과목</t>
    <phoneticPr fontId="2" type="noConversion"/>
  </si>
  <si>
    <t>총점</t>
  </si>
  <si>
    <t>홍길동</t>
    <phoneticPr fontId="2" type="noConversion"/>
  </si>
  <si>
    <t>이숙희</t>
    <phoneticPr fontId="2" type="noConversion"/>
  </si>
  <si>
    <t>양미숙</t>
    <phoneticPr fontId="2" type="noConversion"/>
  </si>
  <si>
    <t>이숙자</t>
    <phoneticPr fontId="2" type="noConversion"/>
  </si>
  <si>
    <t>국어</t>
  </si>
  <si>
    <t>수학</t>
  </si>
  <si>
    <t>과학</t>
  </si>
  <si>
    <t>합계</t>
  </si>
  <si>
    <t>김수범</t>
  </si>
  <si>
    <t>김상엽</t>
  </si>
  <si>
    <t>박철수</t>
  </si>
  <si>
    <t>김수환</t>
  </si>
  <si>
    <t>총계</t>
  </si>
  <si>
    <t>모의고사 성적</t>
    <phoneticPr fontId="4" type="noConversion"/>
  </si>
  <si>
    <t>성명</t>
    <phoneticPr fontId="4" type="noConversion"/>
  </si>
  <si>
    <t>국어</t>
    <phoneticPr fontId="4" type="noConversion"/>
  </si>
  <si>
    <t>영어</t>
    <phoneticPr fontId="4" type="noConversion"/>
  </si>
  <si>
    <t>수학</t>
    <phoneticPr fontId="4" type="noConversion"/>
  </si>
  <si>
    <t>평균1</t>
    <phoneticPr fontId="4" type="noConversion"/>
  </si>
  <si>
    <t>평균2</t>
    <phoneticPr fontId="4" type="noConversion"/>
  </si>
  <si>
    <t>홍길동</t>
    <phoneticPr fontId="4" type="noConversion"/>
  </si>
  <si>
    <t>이석경</t>
    <phoneticPr fontId="4" type="noConversion"/>
  </si>
  <si>
    <t>양숙희</t>
    <phoneticPr fontId="4" type="noConversion"/>
  </si>
  <si>
    <t>결시</t>
    <phoneticPr fontId="4" type="noConversion"/>
  </si>
  <si>
    <t>한지민</t>
    <phoneticPr fontId="4" type="noConversion"/>
  </si>
  <si>
    <t>이지민</t>
    <phoneticPr fontId="4" type="noConversion"/>
  </si>
  <si>
    <t>평균3</t>
    <phoneticPr fontId="4" type="noConversion"/>
  </si>
  <si>
    <t>평균4</t>
    <phoneticPr fontId="4" type="noConversion"/>
  </si>
  <si>
    <t>최고점수</t>
    <phoneticPr fontId="4" type="noConversion"/>
  </si>
  <si>
    <t>최저점수</t>
    <phoneticPr fontId="4" type="noConversion"/>
  </si>
  <si>
    <t>1학기 성적</t>
    <phoneticPr fontId="2" type="noConversion"/>
  </si>
  <si>
    <t>전체 학생수</t>
    <phoneticPr fontId="4" type="noConversion"/>
  </si>
  <si>
    <t>응시한 학생수</t>
    <phoneticPr fontId="4" type="noConversion"/>
  </si>
  <si>
    <t>결시한 학생수</t>
    <phoneticPr fontId="4" type="noConversion"/>
  </si>
  <si>
    <t>90점이상 학생수</t>
    <phoneticPr fontId="4" type="noConversion"/>
  </si>
  <si>
    <t>80점이상 95점이하 학생수</t>
    <phoneticPr fontId="4" type="noConversion"/>
  </si>
  <si>
    <t>총점</t>
    <phoneticPr fontId="4" type="noConversion"/>
  </si>
  <si>
    <t>순위</t>
    <phoneticPr fontId="4" type="noConversion"/>
  </si>
  <si>
    <t>앞에서 2위</t>
    <phoneticPr fontId="4" type="noConversion"/>
  </si>
  <si>
    <t>뒤에서 2위</t>
    <phoneticPr fontId="4" type="noConversion"/>
  </si>
  <si>
    <t>[표1] 1학년 내신 성적</t>
    <phoneticPr fontId="4" type="noConversion"/>
  </si>
  <si>
    <t>[표2] 등급별 인원수</t>
    <phoneticPr fontId="2" type="noConversion"/>
  </si>
  <si>
    <t>이름</t>
    <phoneticPr fontId="4" type="noConversion"/>
  </si>
  <si>
    <t>중간고사</t>
    <phoneticPr fontId="4" type="noConversion"/>
  </si>
  <si>
    <t>기말고사</t>
    <phoneticPr fontId="4" type="noConversion"/>
  </si>
  <si>
    <t>등급표</t>
    <phoneticPr fontId="4" type="noConversion"/>
  </si>
  <si>
    <t>인원수</t>
    <phoneticPr fontId="4" type="noConversion"/>
  </si>
  <si>
    <t>1 -</t>
    <phoneticPr fontId="2" type="noConversion"/>
  </si>
  <si>
    <t>장길산</t>
    <phoneticPr fontId="4" type="noConversion"/>
  </si>
  <si>
    <t>141 -</t>
    <phoneticPr fontId="2" type="noConversion"/>
  </si>
  <si>
    <t>이영민</t>
    <phoneticPr fontId="4" type="noConversion"/>
  </si>
  <si>
    <t>161 -</t>
    <phoneticPr fontId="2" type="noConversion"/>
  </si>
  <si>
    <t>강숙희</t>
    <phoneticPr fontId="4" type="noConversion"/>
  </si>
  <si>
    <t xml:space="preserve"> </t>
    <phoneticPr fontId="2" type="noConversion"/>
  </si>
  <si>
    <t>181 -</t>
    <phoneticPr fontId="2" type="noConversion"/>
  </si>
  <si>
    <t>양지국</t>
    <phoneticPr fontId="4" type="noConversion"/>
  </si>
  <si>
    <t>김산호</t>
    <phoneticPr fontId="4" type="noConversion"/>
  </si>
  <si>
    <t>중간 값</t>
    <phoneticPr fontId="2" type="noConversion"/>
  </si>
  <si>
    <t>최빈 값</t>
    <phoneticPr fontId="2" type="noConversion"/>
  </si>
  <si>
    <t>분    산</t>
    <phoneticPr fontId="2" type="noConversion"/>
  </si>
  <si>
    <t>표준편차</t>
    <phoneticPr fontId="2" type="noConversion"/>
  </si>
  <si>
    <t>기하평균</t>
    <phoneticPr fontId="2" type="noConversion"/>
  </si>
  <si>
    <t>조화평균</t>
    <phoneticPr fontId="2" type="noConversion"/>
  </si>
  <si>
    <t>80%위치의 값</t>
    <phoneticPr fontId="2" type="noConversion"/>
  </si>
  <si>
    <t>판매 현황</t>
    <phoneticPr fontId="4" type="noConversion"/>
  </si>
  <si>
    <t>상품명</t>
    <phoneticPr fontId="4" type="noConversion"/>
  </si>
  <si>
    <t>수량</t>
    <phoneticPr fontId="4" type="noConversion"/>
  </si>
  <si>
    <t>단가</t>
    <phoneticPr fontId="4" type="noConversion"/>
  </si>
  <si>
    <t>판매가격</t>
    <phoneticPr fontId="4" type="noConversion"/>
  </si>
  <si>
    <t>핸드폰</t>
    <phoneticPr fontId="4" type="noConversion"/>
  </si>
  <si>
    <t>건조기</t>
    <phoneticPr fontId="4" type="noConversion"/>
  </si>
  <si>
    <t>식기세척기</t>
    <phoneticPr fontId="4" type="noConversion"/>
  </si>
  <si>
    <t>노트북</t>
    <phoneticPr fontId="4" type="noConversion"/>
  </si>
  <si>
    <t>평균2</t>
  </si>
  <si>
    <t>평균3</t>
  </si>
  <si>
    <t>홍길동' 사원 판매가격 합계</t>
    <phoneticPr fontId="4" type="noConversion"/>
  </si>
  <si>
    <t>수량이 20 이상이고 단가가 1300 이상인 사원의 판매가격 합계</t>
    <phoneticPr fontId="4" type="noConversion"/>
  </si>
  <si>
    <t>[표1]</t>
    <phoneticPr fontId="2" type="noConversion"/>
  </si>
  <si>
    <t>구분</t>
    <phoneticPr fontId="2" type="noConversion"/>
  </si>
  <si>
    <t>중간고사</t>
    <phoneticPr fontId="2" type="noConversion"/>
  </si>
  <si>
    <t>기말고사</t>
    <phoneticPr fontId="2" type="noConversion"/>
  </si>
  <si>
    <t>가중치</t>
    <phoneticPr fontId="2" type="noConversion"/>
  </si>
  <si>
    <t>[표2]</t>
    <phoneticPr fontId="2" type="noConversion"/>
  </si>
  <si>
    <t>평균</t>
    <phoneticPr fontId="4" type="noConversion"/>
  </si>
  <si>
    <t>생일</t>
    <phoneticPr fontId="2" type="noConversion"/>
  </si>
  <si>
    <t>날짜</t>
    <phoneticPr fontId="2" type="noConversion"/>
  </si>
  <si>
    <t>시간</t>
    <phoneticPr fontId="2" type="noConversion"/>
  </si>
  <si>
    <t>신입사원 채용 결과</t>
    <phoneticPr fontId="2" type="noConversion"/>
  </si>
  <si>
    <t>성명</t>
  </si>
  <si>
    <t>부서명</t>
    <phoneticPr fontId="2" type="noConversion"/>
  </si>
  <si>
    <t>구분코드</t>
    <phoneticPr fontId="2" type="noConversion"/>
  </si>
  <si>
    <t>지역코드</t>
    <phoneticPr fontId="2" type="noConversion"/>
  </si>
  <si>
    <t>비고</t>
    <phoneticPr fontId="2" type="noConversion"/>
  </si>
  <si>
    <t>박구형</t>
  </si>
  <si>
    <t>생산부</t>
    <phoneticPr fontId="2" type="noConversion"/>
  </si>
  <si>
    <t>H</t>
    <phoneticPr fontId="2" type="noConversion"/>
  </si>
  <si>
    <t>S</t>
    <phoneticPr fontId="2" type="noConversion"/>
  </si>
  <si>
    <t>구민희</t>
    <phoneticPr fontId="2" type="noConversion"/>
  </si>
  <si>
    <t>영업부</t>
    <phoneticPr fontId="2" type="noConversion"/>
  </si>
  <si>
    <t>B</t>
    <phoneticPr fontId="2" type="noConversion"/>
  </si>
  <si>
    <t>K</t>
    <phoneticPr fontId="2" type="noConversion"/>
  </si>
  <si>
    <t>사원 평가표</t>
  </si>
  <si>
    <t>사원명</t>
  </si>
  <si>
    <t>주민등록번호</t>
  </si>
  <si>
    <t>팀명</t>
  </si>
  <si>
    <t>실적</t>
  </si>
  <si>
    <t>영어회화</t>
  </si>
  <si>
    <t>컴퓨터</t>
  </si>
  <si>
    <t>비고</t>
  </si>
  <si>
    <t>오정국</t>
  </si>
  <si>
    <t>990103-2******</t>
  </si>
  <si>
    <t>영업1팀</t>
  </si>
  <si>
    <t>하나영</t>
  </si>
  <si>
    <t>881111-1******</t>
  </si>
  <si>
    <t>영업3팀</t>
  </si>
  <si>
    <t>우거진</t>
  </si>
  <si>
    <t>001014-3******</t>
    <phoneticPr fontId="2" type="noConversion"/>
  </si>
  <si>
    <t>판매2팀</t>
  </si>
  <si>
    <t>유호연</t>
  </si>
  <si>
    <t>860422-2******</t>
  </si>
  <si>
    <t>판매1팀</t>
  </si>
  <si>
    <t>박도리</t>
  </si>
  <si>
    <t>011010-4******</t>
    <phoneticPr fontId="2" type="noConversion"/>
  </si>
  <si>
    <t>홍보3팀</t>
    <phoneticPr fontId="2" type="noConversion"/>
  </si>
  <si>
    <t>차한도</t>
  </si>
  <si>
    <t>830417-2******</t>
  </si>
  <si>
    <t>홍보2팀</t>
    <phoneticPr fontId="2" type="noConversion"/>
  </si>
  <si>
    <t>Love</t>
    <phoneticPr fontId="2" type="noConversion"/>
  </si>
  <si>
    <t>Section1</t>
    <phoneticPr fontId="2" type="noConversion"/>
  </si>
  <si>
    <t>가</t>
  </si>
  <si>
    <t>10원</t>
  </si>
  <si>
    <t>50원</t>
  </si>
  <si>
    <t>90원</t>
  </si>
  <si>
    <t>다</t>
  </si>
  <si>
    <t>20원</t>
  </si>
  <si>
    <t>60원</t>
  </si>
  <si>
    <t>100원</t>
  </si>
  <si>
    <t>마</t>
  </si>
  <si>
    <t>30원</t>
  </si>
  <si>
    <t>70원</t>
  </si>
  <si>
    <t>110원</t>
  </si>
  <si>
    <t>아</t>
  </si>
  <si>
    <t>40원</t>
  </si>
  <si>
    <t>80원</t>
  </si>
  <si>
    <t>120원</t>
  </si>
  <si>
    <t>할인율표</t>
  </si>
  <si>
    <t>판매량</t>
  </si>
  <si>
    <t>할인율</t>
  </si>
  <si>
    <t>길벗 백화점 VIP 관리</t>
  </si>
  <si>
    <t>코드</t>
  </si>
  <si>
    <t>참여횟수</t>
  </si>
  <si>
    <t>참여도1</t>
  </si>
  <si>
    <t>참여도2</t>
  </si>
  <si>
    <t>구입상품1</t>
  </si>
  <si>
    <t>구입상품2</t>
  </si>
  <si>
    <t>상품분류</t>
  </si>
  <si>
    <t>박성재</t>
  </si>
  <si>
    <t>A-100</t>
  </si>
  <si>
    <t>의류</t>
  </si>
  <si>
    <t>김아랑</t>
  </si>
  <si>
    <t>A-200</t>
  </si>
  <si>
    <t>가전제품</t>
  </si>
  <si>
    <t>최정재</t>
  </si>
  <si>
    <t>B-100</t>
  </si>
  <si>
    <t>주방소품</t>
  </si>
  <si>
    <t>한성구</t>
  </si>
  <si>
    <t>B-200</t>
  </si>
  <si>
    <t>정효주</t>
  </si>
  <si>
    <t>C-100</t>
  </si>
  <si>
    <t>김정렬</t>
  </si>
  <si>
    <t>C-200</t>
  </si>
  <si>
    <t>참여도</t>
  </si>
  <si>
    <t>소극적</t>
  </si>
  <si>
    <t>보통</t>
  </si>
  <si>
    <t>적극적</t>
  </si>
  <si>
    <t>판매량</t>
    <phoneticPr fontId="4" type="noConversion"/>
  </si>
  <si>
    <t>할인율</t>
    <phoneticPr fontId="4" type="noConversion"/>
  </si>
  <si>
    <t>[표1]</t>
  </si>
  <si>
    <t>제품코드</t>
  </si>
  <si>
    <t>제품명</t>
  </si>
  <si>
    <t>스피커</t>
  </si>
  <si>
    <t>모뎀</t>
  </si>
  <si>
    <t>디스켓</t>
  </si>
  <si>
    <t>토너</t>
  </si>
  <si>
    <t>스캐너</t>
  </si>
  <si>
    <t>[표2]</t>
  </si>
  <si>
    <t>수량</t>
  </si>
  <si>
    <t>단가</t>
  </si>
  <si>
    <t>매출금액</t>
  </si>
  <si>
    <t>상품별 판매수</t>
    <phoneticPr fontId="4" type="noConversion"/>
  </si>
  <si>
    <t>컴퓨터</t>
    <phoneticPr fontId="4" type="noConversion"/>
  </si>
  <si>
    <t>태블릿</t>
    <phoneticPr fontId="4" type="noConversion"/>
  </si>
  <si>
    <t>&lt;200</t>
    <phoneticPr fontId="4" type="noConversion"/>
  </si>
  <si>
    <t>&gt;=250</t>
    <phoneticPr fontId="4" type="noConversion"/>
  </si>
  <si>
    <t>김용숙</t>
    <phoneticPr fontId="4" type="noConversion"/>
  </si>
  <si>
    <t>&lt;=100</t>
    <phoneticPr fontId="4" type="noConversion"/>
  </si>
  <si>
    <t>컴퓨터 판매수가 200 미만인 사람들의 합</t>
    <phoneticPr fontId="4" type="noConversion"/>
  </si>
  <si>
    <t>노트북 판매수가 250 이상인 사람들의 평균</t>
    <phoneticPr fontId="4" type="noConversion"/>
  </si>
  <si>
    <t>태블릿 판매수가 100 이하인 사람들의 수</t>
    <phoneticPr fontId="4" type="noConversion"/>
  </si>
  <si>
    <t>컴퓨터 판매수가 200 미만인 사람 중 최대 판매수</t>
    <phoneticPr fontId="4" type="noConversion"/>
  </si>
  <si>
    <t>노트북 판매수가 250 이상인 사람 중 최소 판매수</t>
    <phoneticPr fontId="4" type="noConversion"/>
  </si>
  <si>
    <t>노트북 판매수가 250 이상인 사람들의 분산</t>
    <phoneticPr fontId="4" type="noConversion"/>
  </si>
  <si>
    <t>컴퓨터 판매수가 200 미만인 사람들의 표준편차</t>
    <phoneticPr fontId="4" type="noConversion"/>
  </si>
  <si>
    <t>'이석경'의 태블릿 수량</t>
    <phoneticPr fontId="4" type="noConversion"/>
  </si>
  <si>
    <t>번호</t>
    <phoneticPr fontId="4" type="noConversion"/>
  </si>
  <si>
    <t>반명</t>
    <phoneticPr fontId="4" type="noConversion"/>
  </si>
  <si>
    <t>합계</t>
    <phoneticPr fontId="4" type="noConversion"/>
  </si>
  <si>
    <t>김원중</t>
    <phoneticPr fontId="4" type="noConversion"/>
  </si>
  <si>
    <t>1반</t>
    <phoneticPr fontId="4" type="noConversion"/>
  </si>
  <si>
    <t>양미라</t>
    <phoneticPr fontId="4" type="noConversion"/>
  </si>
  <si>
    <t>2반</t>
    <phoneticPr fontId="4" type="noConversion"/>
  </si>
  <si>
    <t>조신경</t>
    <phoneticPr fontId="4" type="noConversion"/>
  </si>
  <si>
    <t>남인성</t>
    <phoneticPr fontId="4" type="noConversion"/>
  </si>
  <si>
    <t>마동윤</t>
    <phoneticPr fontId="4" type="noConversion"/>
  </si>
  <si>
    <t>사원번호</t>
  </si>
  <si>
    <t>부서</t>
  </si>
  <si>
    <t>직책</t>
  </si>
  <si>
    <t>본봉</t>
    <phoneticPr fontId="4" type="noConversion"/>
  </si>
  <si>
    <t>영업1부</t>
  </si>
  <si>
    <t>노지심</t>
  </si>
  <si>
    <t>대리</t>
    <phoneticPr fontId="2" type="noConversion"/>
  </si>
  <si>
    <t>본봉 합계</t>
    <phoneticPr fontId="4" type="noConversion"/>
  </si>
  <si>
    <t>본봉 평균</t>
    <phoneticPr fontId="4" type="noConversion"/>
  </si>
  <si>
    <t>영업3부</t>
  </si>
  <si>
    <t>박유비</t>
    <phoneticPr fontId="12" type="noConversion"/>
  </si>
  <si>
    <t>과장</t>
    <phoneticPr fontId="2" type="noConversion"/>
  </si>
  <si>
    <t>영업3부</t>
    <phoneticPr fontId="2" type="noConversion"/>
  </si>
  <si>
    <t>송치윤</t>
  </si>
  <si>
    <t>영업2부</t>
    <phoneticPr fontId="2" type="noConversion"/>
  </si>
  <si>
    <t>송혜영</t>
  </si>
  <si>
    <t>부장</t>
    <phoneticPr fontId="2" type="noConversion"/>
  </si>
  <si>
    <t>이관우</t>
    <phoneticPr fontId="12" type="noConversion"/>
  </si>
  <si>
    <t>사원</t>
  </si>
  <si>
    <t>이충렬</t>
  </si>
  <si>
    <t>제갈량</t>
  </si>
  <si>
    <t>대리</t>
  </si>
  <si>
    <t>조자룡</t>
  </si>
  <si>
    <t>퇴직금 현황</t>
    <phoneticPr fontId="4" type="noConversion"/>
  </si>
  <si>
    <t>(단위 : 천)</t>
    <phoneticPr fontId="4" type="noConversion"/>
  </si>
  <si>
    <t>기본급</t>
    <phoneticPr fontId="4" type="noConversion"/>
  </si>
  <si>
    <t>퇴직금</t>
    <phoneticPr fontId="4" type="noConversion"/>
  </si>
  <si>
    <t>수당</t>
    <phoneticPr fontId="4" type="noConversion"/>
  </si>
  <si>
    <t>상여금</t>
    <phoneticPr fontId="4" type="noConversion"/>
  </si>
  <si>
    <t>양미경</t>
    <phoneticPr fontId="4" type="noConversion"/>
  </si>
  <si>
    <t>임순진</t>
    <phoneticPr fontId="4" type="noConversion"/>
  </si>
  <si>
    <t>최양국</t>
    <phoneticPr fontId="4" type="noConversion"/>
  </si>
  <si>
    <t>반별 모의고사 평균</t>
  </si>
  <si>
    <t>반</t>
  </si>
  <si>
    <t>3월</t>
  </si>
  <si>
    <t>6월</t>
  </si>
  <si>
    <t>인원</t>
  </si>
  <si>
    <t>1반</t>
  </si>
  <si>
    <t>2반</t>
  </si>
  <si>
    <t>3반</t>
  </si>
  <si>
    <t>4반</t>
  </si>
  <si>
    <t>5반</t>
  </si>
  <si>
    <t>직위</t>
  </si>
  <si>
    <t>기본급</t>
  </si>
  <si>
    <t>상여금</t>
  </si>
  <si>
    <t>급여계</t>
  </si>
  <si>
    <t>공제계</t>
  </si>
  <si>
    <t>실수령액</t>
  </si>
  <si>
    <t>이지형</t>
  </si>
  <si>
    <t>부장</t>
  </si>
  <si>
    <t>나현희</t>
  </si>
  <si>
    <t>오지명</t>
  </si>
  <si>
    <t>차이슬</t>
  </si>
  <si>
    <t>과장</t>
  </si>
  <si>
    <t>성명</t>
    <phoneticPr fontId="2" type="noConversion"/>
  </si>
  <si>
    <t>전공학과</t>
    <phoneticPr fontId="2" type="noConversion"/>
  </si>
  <si>
    <t>결석회수</t>
    <phoneticPr fontId="2" type="noConversion"/>
  </si>
  <si>
    <t>출석점수</t>
    <phoneticPr fontId="2" type="noConversion"/>
  </si>
  <si>
    <t>평점</t>
    <phoneticPr fontId="2" type="noConversion"/>
  </si>
  <si>
    <t>이미영</t>
    <phoneticPr fontId="2" type="noConversion"/>
  </si>
  <si>
    <t>컴퓨터</t>
    <phoneticPr fontId="2" type="noConversion"/>
  </si>
  <si>
    <t>구기자</t>
    <phoneticPr fontId="2" type="noConversion"/>
  </si>
  <si>
    <t>국문</t>
    <phoneticPr fontId="2" type="noConversion"/>
  </si>
  <si>
    <t>한명구</t>
    <phoneticPr fontId="2" type="noConversion"/>
  </si>
  <si>
    <t>경영</t>
    <phoneticPr fontId="2" type="noConversion"/>
  </si>
  <si>
    <t>사옹정</t>
    <phoneticPr fontId="2" type="noConversion"/>
  </si>
  <si>
    <t>오동추</t>
    <phoneticPr fontId="2" type="noConversion"/>
  </si>
  <si>
    <t>윤수아</t>
    <phoneticPr fontId="2" type="noConversion"/>
  </si>
  <si>
    <t>김기자</t>
    <phoneticPr fontId="2" type="noConversion"/>
  </si>
  <si>
    <t>우주태</t>
    <phoneticPr fontId="2" type="noConversion"/>
  </si>
  <si>
    <t>보수 지급 현황</t>
  </si>
  <si>
    <t>근무년수</t>
  </si>
  <si>
    <t>연봉</t>
  </si>
  <si>
    <t>성과급</t>
  </si>
  <si>
    <t>지급액</t>
  </si>
  <si>
    <t>강구철</t>
  </si>
  <si>
    <t>1팀</t>
  </si>
  <si>
    <t>김인철</t>
  </si>
  <si>
    <t>도지연</t>
  </si>
  <si>
    <t>3팀</t>
  </si>
  <si>
    <t>서도연</t>
  </si>
  <si>
    <t>안수영</t>
  </si>
  <si>
    <t>2팀</t>
  </si>
  <si>
    <t>유창혁</t>
  </si>
  <si>
    <t>이세돌</t>
  </si>
  <si>
    <t>장인철</t>
  </si>
  <si>
    <t>한석봉</t>
  </si>
  <si>
    <t>총합계</t>
  </si>
  <si>
    <t>(모두)</t>
  </si>
  <si>
    <t>합계 : 지급액</t>
  </si>
  <si>
    <t>성별</t>
  </si>
  <si>
    <t>영어</t>
  </si>
  <si>
    <t>평균</t>
  </si>
  <si>
    <t>강현준</t>
  </si>
  <si>
    <t>남</t>
  </si>
  <si>
    <t>김영희</t>
  </si>
  <si>
    <t>여</t>
  </si>
  <si>
    <t>한민재</t>
  </si>
  <si>
    <t>윤정희</t>
  </si>
  <si>
    <t>이명준</t>
  </si>
  <si>
    <t>[표1] 서울 아파트 분양 현황</t>
  </si>
  <si>
    <t>[표2] 경기 아파트 분양 현황</t>
  </si>
  <si>
    <t>구분</t>
  </si>
  <si>
    <t>아파트명</t>
  </si>
  <si>
    <t>세대수</t>
  </si>
  <si>
    <t>분양가</t>
  </si>
  <si>
    <t>국민 무주택</t>
  </si>
  <si>
    <t>한대</t>
  </si>
  <si>
    <t>민영 일반</t>
  </si>
  <si>
    <t>오산</t>
  </si>
  <si>
    <t>국민 일반</t>
  </si>
  <si>
    <t>안성</t>
  </si>
  <si>
    <t>민영 무주택</t>
  </si>
  <si>
    <t>사성</t>
  </si>
  <si>
    <t>현대</t>
  </si>
  <si>
    <t>합계</t>
    <phoneticPr fontId="2" type="noConversion"/>
  </si>
  <si>
    <t>평균</t>
    <phoneticPr fontId="2" type="noConversion"/>
  </si>
  <si>
    <t>김수정</t>
  </si>
  <si>
    <t>박정호</t>
  </si>
  <si>
    <t>최아름</t>
  </si>
  <si>
    <t>박진수</t>
  </si>
  <si>
    <t>1학년 중간고사 성적표</t>
  </si>
  <si>
    <t>중간고사 성적표</t>
  </si>
  <si>
    <t>국어와 영어점수 변동에 따른 총점표</t>
  </si>
  <si>
    <t>[표3] 아파트 분양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</si>
</sst>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h&quot;시&quot;\ m&quot;분&quot;\ s&quot;초&quot;"/>
    <numFmt numFmtId="177" formatCode="&quot;₩&quot;#,##0"/>
    <numFmt numFmtId="178" formatCode="#,##0_ "/>
    <numFmt numFmtId="179" formatCode="0_ "/>
    <numFmt numFmtId="180" formatCode="0.0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10" fillId="0" borderId="0"/>
  </cellStyleXfs>
  <cellXfs count="74">
    <xf numFmtId="0" fontId="0" fillId="0" borderId="0" xfId="0">
      <alignment vertical="center"/>
    </xf>
    <xf numFmtId="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right" vertical="center"/>
    </xf>
    <xf numFmtId="0" fontId="6" fillId="0" borderId="7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6" fillId="0" borderId="0" xfId="0" applyFont="1" applyAlignment="1">
      <alignment horizontal="left" vertical="center"/>
    </xf>
    <xf numFmtId="9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  <xf numFmtId="9" fontId="6" fillId="0" borderId="2" xfId="0" applyNumberFormat="1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49" fontId="11" fillId="0" borderId="2" xfId="3" applyNumberFormat="1" applyFont="1" applyBorder="1" applyAlignment="1">
      <alignment horizontal="center" vertical="center"/>
    </xf>
    <xf numFmtId="42" fontId="11" fillId="0" borderId="2" xfId="2" applyFont="1" applyFill="1" applyBorder="1" applyAlignment="1">
      <alignment vertical="center"/>
    </xf>
    <xf numFmtId="49" fontId="11" fillId="2" borderId="2" xfId="3" applyNumberFormat="1" applyFont="1" applyFill="1" applyBorder="1" applyAlignment="1">
      <alignment horizontal="center" vertical="center"/>
    </xf>
    <xf numFmtId="41" fontId="0" fillId="0" borderId="2" xfId="1" applyFont="1" applyBorder="1">
      <alignment vertical="center"/>
    </xf>
    <xf numFmtId="0" fontId="0" fillId="0" borderId="0" xfId="0" applyAlignment="1">
      <alignment horizontal="center" vertical="center"/>
    </xf>
    <xf numFmtId="178" fontId="0" fillId="0" borderId="2" xfId="1" applyNumberFormat="1" applyFont="1" applyBorder="1" applyAlignment="1">
      <alignment horizontal="right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79" fontId="0" fillId="0" borderId="24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79" fontId="0" fillId="0" borderId="25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2" xfId="0" quotePrefix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2" xfId="0" quotePrefix="1" applyFont="1" applyFill="1" applyBorder="1" applyAlignment="1">
      <alignment horizontal="left" vertical="center"/>
    </xf>
    <xf numFmtId="0" fontId="9" fillId="2" borderId="10" xfId="0" applyFont="1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 2" xfId="3" xr:uid="{EC72AFFE-B72B-4F99-BD4E-C261EF435F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퇴직금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섹션087!$B$2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섹션087!$A$3:$A$7</c:f>
              <c:strCache>
                <c:ptCount val="5"/>
                <c:pt idx="0">
                  <c:v>홍길동</c:v>
                </c:pt>
                <c:pt idx="1">
                  <c:v>장길산</c:v>
                </c:pt>
                <c:pt idx="2">
                  <c:v>양미경</c:v>
                </c:pt>
                <c:pt idx="3">
                  <c:v>임순진</c:v>
                </c:pt>
                <c:pt idx="4">
                  <c:v>최양국</c:v>
                </c:pt>
              </c:strCache>
            </c:strRef>
          </c:cat>
          <c:val>
            <c:numRef>
              <c:f>섹션087!$B$3:$B$7</c:f>
              <c:numCache>
                <c:formatCode>#,##0_ </c:formatCode>
                <c:ptCount val="5"/>
                <c:pt idx="0">
                  <c:v>4800</c:v>
                </c:pt>
                <c:pt idx="1">
                  <c:v>3000</c:v>
                </c:pt>
                <c:pt idx="2">
                  <c:v>2800</c:v>
                </c:pt>
                <c:pt idx="3">
                  <c:v>3200</c:v>
                </c:pt>
                <c:pt idx="4">
                  <c:v>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52-4E83-BC68-6007745BC622}"/>
            </c:ext>
          </c:extLst>
        </c:ser>
        <c:ser>
          <c:idx val="1"/>
          <c:order val="1"/>
          <c:tx>
            <c:strRef>
              <c:f>섹션087!$C$2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섹션087!$A$3:$A$7</c:f>
              <c:strCache>
                <c:ptCount val="5"/>
                <c:pt idx="0">
                  <c:v>홍길동</c:v>
                </c:pt>
                <c:pt idx="1">
                  <c:v>장길산</c:v>
                </c:pt>
                <c:pt idx="2">
                  <c:v>양미경</c:v>
                </c:pt>
                <c:pt idx="3">
                  <c:v>임순진</c:v>
                </c:pt>
                <c:pt idx="4">
                  <c:v>최양국</c:v>
                </c:pt>
              </c:strCache>
            </c:strRef>
          </c:cat>
          <c:val>
            <c:numRef>
              <c:f>섹션087!$C$3:$C$7</c:f>
              <c:numCache>
                <c:formatCode>#,##0_ </c:formatCode>
                <c:ptCount val="5"/>
                <c:pt idx="0">
                  <c:v>18340</c:v>
                </c:pt>
                <c:pt idx="1">
                  <c:v>19040</c:v>
                </c:pt>
                <c:pt idx="2">
                  <c:v>25140</c:v>
                </c:pt>
                <c:pt idx="3">
                  <c:v>23040</c:v>
                </c:pt>
                <c:pt idx="4">
                  <c:v>13436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52-4E83-BC68-6007745BC6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7824160"/>
        <c:axId val="397832480"/>
      </c:barChart>
      <c:catAx>
        <c:axId val="397824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7832480"/>
        <c:crosses val="autoZero"/>
        <c:auto val="1"/>
        <c:lblAlgn val="ctr"/>
        <c:lblOffset val="100"/>
        <c:noMultiLvlLbl val="0"/>
      </c:catAx>
      <c:valAx>
        <c:axId val="39783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  <a:r>
                  <a:rPr lang="en-US" altLang="ko-KR"/>
                  <a:t>(</a:t>
                </a: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천원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782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반별 모의고사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섹션088!$B$2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섹션088!$A$3:$A$7</c:f>
              <c:strCache>
                <c:ptCount val="5"/>
                <c:pt idx="0">
                  <c:v>1반</c:v>
                </c:pt>
                <c:pt idx="1">
                  <c:v>2반</c:v>
                </c:pt>
                <c:pt idx="2">
                  <c:v>3반</c:v>
                </c:pt>
                <c:pt idx="3">
                  <c:v>4반</c:v>
                </c:pt>
                <c:pt idx="4">
                  <c:v>5반</c:v>
                </c:pt>
              </c:strCache>
            </c:strRef>
          </c:cat>
          <c:val>
            <c:numRef>
              <c:f>섹션088!$B$3:$B$7</c:f>
              <c:numCache>
                <c:formatCode>General</c:formatCode>
                <c:ptCount val="5"/>
                <c:pt idx="0">
                  <c:v>85</c:v>
                </c:pt>
                <c:pt idx="1">
                  <c:v>90</c:v>
                </c:pt>
                <c:pt idx="2">
                  <c:v>88</c:v>
                </c:pt>
                <c:pt idx="3">
                  <c:v>97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A-43AD-977B-4A6449B027AE}"/>
            </c:ext>
          </c:extLst>
        </c:ser>
        <c:ser>
          <c:idx val="1"/>
          <c:order val="1"/>
          <c:tx>
            <c:strRef>
              <c:f>섹션088!$C$2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섹션088!$A$3:$A$7</c:f>
              <c:strCache>
                <c:ptCount val="5"/>
                <c:pt idx="0">
                  <c:v>1반</c:v>
                </c:pt>
                <c:pt idx="1">
                  <c:v>2반</c:v>
                </c:pt>
                <c:pt idx="2">
                  <c:v>3반</c:v>
                </c:pt>
                <c:pt idx="3">
                  <c:v>4반</c:v>
                </c:pt>
                <c:pt idx="4">
                  <c:v>5반</c:v>
                </c:pt>
              </c:strCache>
            </c:strRef>
          </c:cat>
          <c:val>
            <c:numRef>
              <c:f>섹션088!$C$3:$C$7</c:f>
              <c:numCache>
                <c:formatCode>General</c:formatCode>
                <c:ptCount val="5"/>
                <c:pt idx="0">
                  <c:v>95</c:v>
                </c:pt>
                <c:pt idx="1">
                  <c:v>82</c:v>
                </c:pt>
                <c:pt idx="2">
                  <c:v>88</c:v>
                </c:pt>
                <c:pt idx="3">
                  <c:v>94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6A-43AD-977B-4A6449B027AE}"/>
            </c:ext>
          </c:extLst>
        </c:ser>
        <c:ser>
          <c:idx val="2"/>
          <c:order val="2"/>
          <c:tx>
            <c:strRef>
              <c:f>섹션088!$D$2</c:f>
              <c:strCache>
                <c:ptCount val="1"/>
                <c:pt idx="0">
                  <c:v>인원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섹션088!$A$3:$A$7</c:f>
              <c:strCache>
                <c:ptCount val="5"/>
                <c:pt idx="0">
                  <c:v>1반</c:v>
                </c:pt>
                <c:pt idx="1">
                  <c:v>2반</c:v>
                </c:pt>
                <c:pt idx="2">
                  <c:v>3반</c:v>
                </c:pt>
                <c:pt idx="3">
                  <c:v>4반</c:v>
                </c:pt>
                <c:pt idx="4">
                  <c:v>5반</c:v>
                </c:pt>
              </c:strCache>
            </c:strRef>
          </c:cat>
          <c:val>
            <c:numRef>
              <c:f>섹션088!$D$3:$D$7</c:f>
              <c:numCache>
                <c:formatCode>General</c:formatCode>
                <c:ptCount val="5"/>
                <c:pt idx="0">
                  <c:v>21</c:v>
                </c:pt>
                <c:pt idx="1">
                  <c:v>19</c:v>
                </c:pt>
                <c:pt idx="2">
                  <c:v>23</c:v>
                </c:pt>
                <c:pt idx="3">
                  <c:v>21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6A-43AD-977B-4A6449B0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334912"/>
        <c:axId val="381340320"/>
      </c:barChart>
      <c:catAx>
        <c:axId val="38133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1340320"/>
        <c:crosses val="autoZero"/>
        <c:auto val="1"/>
        <c:lblAlgn val="ctr"/>
        <c:lblOffset val="100"/>
        <c:noMultiLvlLbl val="0"/>
      </c:catAx>
      <c:valAx>
        <c:axId val="38134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133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0553806-AC1C-4DD4-A2ED-9C0E2F13C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9A2FF73-449C-49B5-99BC-D78455FB7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2%202022&#45380;%20&#51089;&#50629;/03%20&#45800;&#44592;&#50756;&#49457;/&#54596;&#44592;/1&#44553;/&#44536;&#47548;&#51105;&#51008;&#54028;&#51068;/2016&#48260;&#51204;&#44536;&#47548;&#51105;&#51008;%20&#54028;&#5106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"/>
      <sheetName val="15"/>
      <sheetName val="15 (2)"/>
      <sheetName val="16"/>
      <sheetName val="17"/>
      <sheetName val="18"/>
      <sheetName val="19"/>
      <sheetName val="24"/>
      <sheetName val="24 (2)"/>
      <sheetName val="31"/>
      <sheetName val="33"/>
      <sheetName val="34"/>
      <sheetName val="34 (2)"/>
      <sheetName val="41"/>
      <sheetName val="42"/>
      <sheetName val="42-2"/>
      <sheetName val="42-3"/>
      <sheetName val="44"/>
      <sheetName val="44 (2)"/>
      <sheetName val="44 (3)"/>
      <sheetName val="45"/>
      <sheetName val="45 (2)"/>
      <sheetName val="46"/>
      <sheetName val="47"/>
      <sheetName val="47-1"/>
      <sheetName val="50"/>
      <sheetName val="50 (2)"/>
      <sheetName val="52"/>
      <sheetName val="52 (2)"/>
      <sheetName val="53"/>
      <sheetName val="53 (2)"/>
      <sheetName val="53 (3)"/>
      <sheetName val="54"/>
      <sheetName val="55"/>
      <sheetName val="56"/>
      <sheetName val="56 (2)"/>
      <sheetName val="56 (3)"/>
      <sheetName val="58"/>
      <sheetName val="62"/>
      <sheetName val="62 (2)"/>
      <sheetName val="64"/>
      <sheetName val="66"/>
      <sheetName val="66-2"/>
      <sheetName val="66-3"/>
      <sheetName val="67"/>
      <sheetName val="Sheet1"/>
      <sheetName val="70"/>
      <sheetName val="81"/>
      <sheetName val="81-2"/>
      <sheetName val="82"/>
      <sheetName val="82-2"/>
      <sheetName val="89"/>
      <sheetName val="89-2"/>
      <sheetName val="90-1"/>
      <sheetName val="90-2"/>
      <sheetName val="90-3"/>
      <sheetName val="96"/>
      <sheetName val="96 (2)"/>
      <sheetName val="96 (3)"/>
      <sheetName val="96 (4)"/>
      <sheetName val="96 (5)"/>
      <sheetName val="97"/>
      <sheetName val="97 (2)"/>
      <sheetName val="97 (3)"/>
      <sheetName val="97 (4)"/>
      <sheetName val="101"/>
      <sheetName val="101 (2)"/>
      <sheetName val="102"/>
      <sheetName val="103"/>
      <sheetName val="105"/>
      <sheetName val="105 (2)"/>
      <sheetName val="108"/>
      <sheetName val="108 (2)"/>
      <sheetName val="109"/>
      <sheetName val="109 (2)"/>
      <sheetName val="109 (3)"/>
      <sheetName val="109 (4)"/>
      <sheetName val="110"/>
      <sheetName val="110 (2)"/>
      <sheetName val="110 (3)"/>
      <sheetName val="111"/>
      <sheetName val="111 (2)"/>
      <sheetName val="111 (3)"/>
      <sheetName val="111 (4)"/>
      <sheetName val="111 (5)"/>
      <sheetName val="111 (6)"/>
      <sheetName val="112"/>
      <sheetName val="112 (2)"/>
      <sheetName val="112 (3)"/>
      <sheetName val="112 (4)"/>
      <sheetName val="112 (5)"/>
      <sheetName val="113"/>
      <sheetName val="113 (2)"/>
      <sheetName val="113 (3)"/>
      <sheetName val="113 (4)"/>
      <sheetName val="113 (5)"/>
      <sheetName val="113 (6)"/>
      <sheetName val="114"/>
      <sheetName val="114 (2)"/>
      <sheetName val="121"/>
      <sheetName val="132"/>
      <sheetName val="132 (2)"/>
      <sheetName val="133"/>
      <sheetName val="Sheet10"/>
      <sheetName val="143"/>
      <sheetName val="145"/>
      <sheetName val="150"/>
      <sheetName val="151"/>
      <sheetName val="Chart2"/>
      <sheetName val="Sheet63"/>
      <sheetName val="171"/>
      <sheetName val="181"/>
      <sheetName val="Sheet4"/>
      <sheetName val="190"/>
      <sheetName val="195"/>
      <sheetName val="196"/>
      <sheetName val="199"/>
      <sheetName val="206"/>
      <sheetName val="206_정답"/>
      <sheetName val="208"/>
      <sheetName val="208 (2)"/>
      <sheetName val="209"/>
      <sheetName val="209 (2)"/>
      <sheetName val="209 (3)"/>
      <sheetName val="219"/>
      <sheetName val="229"/>
      <sheetName val="230"/>
      <sheetName val="236"/>
      <sheetName val="236 (2)"/>
      <sheetName val="241"/>
      <sheetName val="241 (2)"/>
      <sheetName val="242"/>
      <sheetName val="243"/>
      <sheetName val="243 (2)"/>
      <sheetName val="244"/>
      <sheetName val="245"/>
      <sheetName val="245 (2)"/>
      <sheetName val="246"/>
      <sheetName val="247"/>
      <sheetName val="Sheet18"/>
      <sheetName val="249"/>
      <sheetName val="250"/>
      <sheetName val="291"/>
      <sheetName val="296"/>
      <sheetName val="303"/>
      <sheetName val="304"/>
      <sheetName val="305"/>
      <sheetName val="306"/>
      <sheetName val="306 (2)"/>
      <sheetName val="307"/>
      <sheetName val="307 (2)"/>
      <sheetName val="307 (3)"/>
      <sheetName val="308"/>
      <sheetName val="308 (2)"/>
      <sheetName val="311"/>
      <sheetName val="313"/>
      <sheetName val="31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1">
          <cell r="A1">
            <v>2</v>
          </cell>
        </row>
        <row r="2">
          <cell r="A2">
            <v>2</v>
          </cell>
        </row>
        <row r="3">
          <cell r="A3">
            <v>0</v>
          </cell>
        </row>
        <row r="4">
          <cell r="A4">
            <v>1</v>
          </cell>
        </row>
        <row r="6">
          <cell r="A6" t="str">
            <v>"사용불가"</v>
          </cell>
        </row>
      </sheetData>
      <sheetData sheetId="81" refreshError="1"/>
      <sheetData sheetId="82" refreshError="1"/>
      <sheetData sheetId="83" refreshError="1"/>
      <sheetData sheetId="84">
        <row r="2">
          <cell r="B2">
            <v>85</v>
          </cell>
          <cell r="C2">
            <v>60</v>
          </cell>
          <cell r="D2">
            <v>90</v>
          </cell>
        </row>
        <row r="3">
          <cell r="B3">
            <v>75</v>
          </cell>
          <cell r="C3">
            <v>80</v>
          </cell>
          <cell r="D3">
            <v>90</v>
          </cell>
        </row>
        <row r="4">
          <cell r="B4">
            <v>90</v>
          </cell>
          <cell r="C4">
            <v>80</v>
          </cell>
          <cell r="D4">
            <v>80</v>
          </cell>
        </row>
        <row r="5">
          <cell r="B5">
            <v>80</v>
          </cell>
          <cell r="C5">
            <v>95</v>
          </cell>
          <cell r="D5">
            <v>70</v>
          </cell>
        </row>
        <row r="6">
          <cell r="B6">
            <v>85</v>
          </cell>
          <cell r="C6">
            <v>100</v>
          </cell>
          <cell r="D6">
            <v>80</v>
          </cell>
        </row>
      </sheetData>
      <sheetData sheetId="85" refreshError="1"/>
      <sheetData sheetId="86">
        <row r="2">
          <cell r="B2" t="str">
            <v>비회원</v>
          </cell>
          <cell r="C2" t="str">
            <v>인천</v>
          </cell>
        </row>
        <row r="3">
          <cell r="B3" t="str">
            <v>정회원</v>
          </cell>
          <cell r="C3" t="str">
            <v>서울</v>
          </cell>
        </row>
        <row r="4">
          <cell r="B4" t="str">
            <v>정회원</v>
          </cell>
          <cell r="C4" t="str">
            <v>인천</v>
          </cell>
        </row>
        <row r="5">
          <cell r="B5" t="str">
            <v>비회원</v>
          </cell>
          <cell r="C5" t="str">
            <v>인천</v>
          </cell>
        </row>
        <row r="6">
          <cell r="B6" t="str">
            <v>정회원</v>
          </cell>
          <cell r="C6" t="str">
            <v>인천</v>
          </cell>
        </row>
        <row r="7">
          <cell r="B7" t="str">
            <v>비회원</v>
          </cell>
          <cell r="C7" t="str">
            <v>부산</v>
          </cell>
        </row>
      </sheetData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365.580494212962" createdVersion="7" refreshedVersion="7" minRefreshableVersion="3" recordCount="9" xr:uid="{4E237E44-5EBC-4815-972E-92B73091D487}">
  <cacheSource type="worksheet">
    <worksheetSource ref="A3:G12" sheet="섹션096-1_정답"/>
  </cacheSource>
  <cacheFields count="7">
    <cacheField name="성명" numFmtId="0">
      <sharedItems count="9">
        <s v="강구철"/>
        <s v="김인철"/>
        <s v="도지연"/>
        <s v="서도연"/>
        <s v="안수영"/>
        <s v="유창혁"/>
        <s v="이세돌"/>
        <s v="장인철"/>
        <s v="한석봉"/>
      </sharedItems>
    </cacheField>
    <cacheField name="팀명" numFmtId="0">
      <sharedItems/>
    </cacheField>
    <cacheField name="직위" numFmtId="0">
      <sharedItems count="3">
        <s v="부장"/>
        <s v="사원"/>
        <s v="과장"/>
      </sharedItems>
    </cacheField>
    <cacheField name="근무년수" numFmtId="0">
      <sharedItems containsSemiMixedTypes="0" containsString="0" containsNumber="1" containsInteger="1" minValue="2" maxValue="20" count="5">
        <n v="20"/>
        <n v="2"/>
        <n v="17"/>
        <n v="4"/>
        <n v="5"/>
      </sharedItems>
    </cacheField>
    <cacheField name="연봉" numFmtId="41">
      <sharedItems containsSemiMixedTypes="0" containsString="0" containsNumber="1" containsInteger="1" minValue="400" maxValue="4600"/>
    </cacheField>
    <cacheField name="성과급" numFmtId="41">
      <sharedItems containsSemiMixedTypes="0" containsString="0" containsNumber="1" containsInteger="1" minValue="20" maxValue="200"/>
    </cacheField>
    <cacheField name="지급액" numFmtId="41">
      <sharedItems containsSemiMixedTypes="0" containsString="0" containsNumber="1" containsInteger="1" minValue="420" maxValue="4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1팀"/>
    <x v="0"/>
    <x v="0"/>
    <n v="4600"/>
    <n v="200"/>
    <n v="4800"/>
  </r>
  <r>
    <x v="1"/>
    <s v="1팀"/>
    <x v="1"/>
    <x v="1"/>
    <n v="400"/>
    <n v="20"/>
    <n v="420"/>
  </r>
  <r>
    <x v="2"/>
    <s v="3팀"/>
    <x v="2"/>
    <x v="2"/>
    <n v="3400"/>
    <n v="170"/>
    <n v="3570"/>
  </r>
  <r>
    <x v="3"/>
    <s v="3팀"/>
    <x v="1"/>
    <x v="1"/>
    <n v="400"/>
    <n v="20"/>
    <n v="420"/>
  </r>
  <r>
    <x v="4"/>
    <s v="2팀"/>
    <x v="1"/>
    <x v="3"/>
    <n v="800"/>
    <n v="40"/>
    <n v="840"/>
  </r>
  <r>
    <x v="5"/>
    <s v="1팀"/>
    <x v="1"/>
    <x v="3"/>
    <n v="800"/>
    <n v="40"/>
    <n v="840"/>
  </r>
  <r>
    <x v="6"/>
    <s v="2팀"/>
    <x v="2"/>
    <x v="2"/>
    <n v="3400"/>
    <n v="170"/>
    <n v="3570"/>
  </r>
  <r>
    <x v="7"/>
    <s v="2팀"/>
    <x v="1"/>
    <x v="4"/>
    <n v="1000"/>
    <n v="50"/>
    <n v="1050"/>
  </r>
  <r>
    <x v="8"/>
    <s v="3팀"/>
    <x v="0"/>
    <x v="0"/>
    <n v="4000"/>
    <n v="200"/>
    <n v="4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113AE4-CE34-4A51-9D17-CB82A906C3B9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chartFormat="1">
  <location ref="A3:E10" firstHeaderRow="1" firstDataRow="2" firstDataCol="1" rowPageCount="1" colPageCount="1"/>
  <pivotFields count="7">
    <pivotField axis="axisPage" compact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compact="0" showAll="0"/>
    <pivotField axis="axisCol" compact="0" showAll="0">
      <items count="4">
        <item x="2"/>
        <item x="0"/>
        <item x="1"/>
        <item t="default"/>
      </items>
    </pivotField>
    <pivotField axis="axisRow" compact="0" showAll="0">
      <items count="6">
        <item x="1"/>
        <item x="3"/>
        <item x="4"/>
        <item x="2"/>
        <item x="0"/>
        <item t="default"/>
      </items>
    </pivotField>
    <pivotField compact="0" numFmtId="41" showAll="0"/>
    <pivotField compact="0" numFmtId="41" showAll="0"/>
    <pivotField dataField="1" compact="0" numFmtId="4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-1"/>
  </pageFields>
  <dataFields count="1">
    <dataField name="합계 : 지급액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EDB5F-428C-4EDE-B307-3C245A90F1F8}">
  <sheetPr codeName="Sheet1"/>
  <dimension ref="A1:E12"/>
  <sheetViews>
    <sheetView tabSelected="1" workbookViewId="0"/>
  </sheetViews>
  <sheetFormatPr defaultRowHeight="17"/>
  <sheetData>
    <row r="1" spans="1:5">
      <c r="A1" s="2" t="s">
        <v>0</v>
      </c>
      <c r="B1" s="2" t="s">
        <v>1</v>
      </c>
      <c r="C1" s="2" t="s">
        <v>2</v>
      </c>
      <c r="D1" s="2" t="s">
        <v>3</v>
      </c>
    </row>
    <row r="2" spans="1:5">
      <c r="A2" s="2" t="s">
        <v>4</v>
      </c>
      <c r="B2" s="2">
        <v>80</v>
      </c>
      <c r="C2" s="2">
        <v>58</v>
      </c>
      <c r="D2" s="2">
        <f>SUM(B2:C2)</f>
        <v>138</v>
      </c>
    </row>
    <row r="3" spans="1:5">
      <c r="A3" s="2" t="s">
        <v>5</v>
      </c>
      <c r="B3" s="2">
        <v>84</v>
      </c>
      <c r="C3" s="2">
        <v>75</v>
      </c>
      <c r="D3" s="2">
        <f t="shared" ref="D3:D5" si="0">SUM(B3:C3)</f>
        <v>159</v>
      </c>
    </row>
    <row r="4" spans="1:5">
      <c r="A4" s="2" t="s">
        <v>6</v>
      </c>
      <c r="B4" s="2">
        <v>55</v>
      </c>
      <c r="C4" s="2">
        <v>57</v>
      </c>
      <c r="D4" s="2">
        <f t="shared" si="0"/>
        <v>112</v>
      </c>
    </row>
    <row r="5" spans="1:5">
      <c r="A5" s="2" t="s">
        <v>7</v>
      </c>
      <c r="B5" s="2">
        <v>89</v>
      </c>
      <c r="C5" s="2">
        <v>95</v>
      </c>
      <c r="D5" s="2">
        <f t="shared" si="0"/>
        <v>184</v>
      </c>
    </row>
    <row r="12" spans="1:5">
      <c r="E12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3C4E5-2DEA-4493-8BFB-229E8E23BEC5}">
  <sheetPr codeName="Sheet2"/>
  <dimension ref="A1:E6"/>
  <sheetViews>
    <sheetView workbookViewId="0"/>
  </sheetViews>
  <sheetFormatPr defaultRowHeight="17"/>
  <sheetData>
    <row r="1" spans="1:5">
      <c r="A1" t="s">
        <v>0</v>
      </c>
      <c r="B1" t="s">
        <v>8</v>
      </c>
      <c r="C1" t="s">
        <v>9</v>
      </c>
      <c r="D1" t="s">
        <v>10</v>
      </c>
      <c r="E1" t="s">
        <v>11</v>
      </c>
    </row>
    <row r="2" spans="1:5">
      <c r="A2" t="s">
        <v>12</v>
      </c>
      <c r="B2">
        <v>100</v>
      </c>
      <c r="C2">
        <v>100</v>
      </c>
      <c r="D2">
        <v>99</v>
      </c>
      <c r="E2">
        <v>299</v>
      </c>
    </row>
    <row r="3" spans="1:5">
      <c r="A3" t="s">
        <v>13</v>
      </c>
      <c r="B3">
        <v>99</v>
      </c>
      <c r="C3">
        <v>95</v>
      </c>
      <c r="D3">
        <v>97</v>
      </c>
      <c r="E3">
        <v>291</v>
      </c>
    </row>
    <row r="4" spans="1:5">
      <c r="A4" t="s">
        <v>14</v>
      </c>
      <c r="B4">
        <v>97</v>
      </c>
      <c r="C4">
        <v>99</v>
      </c>
      <c r="D4">
        <v>100</v>
      </c>
      <c r="E4">
        <v>296</v>
      </c>
    </row>
    <row r="5" spans="1:5">
      <c r="A5" t="s">
        <v>15</v>
      </c>
      <c r="B5">
        <v>98</v>
      </c>
      <c r="C5">
        <v>99</v>
      </c>
      <c r="D5">
        <v>98</v>
      </c>
      <c r="E5">
        <v>295</v>
      </c>
    </row>
    <row r="6" spans="1:5">
      <c r="D6" t="s">
        <v>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F89E-4BA5-43CA-BACC-95A7442E7C56}">
  <sheetPr codeName="Sheet3"/>
  <dimension ref="A1:F11"/>
  <sheetViews>
    <sheetView workbookViewId="0">
      <selection sqref="A1:F1"/>
    </sheetView>
  </sheetViews>
  <sheetFormatPr defaultRowHeight="17"/>
  <sheetData>
    <row r="1" spans="1:6">
      <c r="A1" s="52" t="s">
        <v>17</v>
      </c>
      <c r="B1" s="52"/>
      <c r="C1" s="52"/>
      <c r="D1" s="52"/>
      <c r="E1" s="52"/>
      <c r="F1" s="52"/>
    </row>
    <row r="2" spans="1:6">
      <c r="A2" s="2" t="s">
        <v>18</v>
      </c>
      <c r="B2" s="2" t="s">
        <v>19</v>
      </c>
      <c r="C2" s="2" t="s">
        <v>20</v>
      </c>
      <c r="D2" s="2" t="s">
        <v>21</v>
      </c>
      <c r="E2" s="3" t="s">
        <v>22</v>
      </c>
      <c r="F2" s="3" t="s">
        <v>23</v>
      </c>
    </row>
    <row r="3" spans="1:6">
      <c r="A3" s="2" t="s">
        <v>24</v>
      </c>
      <c r="B3" s="2">
        <v>90</v>
      </c>
      <c r="C3" s="2">
        <v>72</v>
      </c>
      <c r="D3" s="2">
        <v>78</v>
      </c>
      <c r="E3" s="2"/>
      <c r="F3" s="2"/>
    </row>
    <row r="4" spans="1:6">
      <c r="A4" s="2" t="s">
        <v>25</v>
      </c>
      <c r="B4" s="2">
        <v>65</v>
      </c>
      <c r="C4" s="2">
        <v>80</v>
      </c>
      <c r="D4" s="2">
        <v>95</v>
      </c>
      <c r="E4" s="2"/>
      <c r="F4" s="2"/>
    </row>
    <row r="5" spans="1:6">
      <c r="A5" s="2" t="s">
        <v>26</v>
      </c>
      <c r="B5" s="2">
        <v>95</v>
      </c>
      <c r="C5" s="2" t="s">
        <v>27</v>
      </c>
      <c r="D5" s="2">
        <v>94</v>
      </c>
      <c r="E5" s="2"/>
      <c r="F5" s="2"/>
    </row>
    <row r="6" spans="1:6">
      <c r="A6" s="2" t="s">
        <v>28</v>
      </c>
      <c r="B6" s="2" t="s">
        <v>27</v>
      </c>
      <c r="C6" s="2">
        <v>100</v>
      </c>
      <c r="D6" s="2">
        <v>95</v>
      </c>
      <c r="E6" s="2"/>
      <c r="F6" s="2"/>
    </row>
    <row r="7" spans="1:6">
      <c r="A7" s="2" t="s">
        <v>29</v>
      </c>
      <c r="B7" s="2">
        <v>91</v>
      </c>
      <c r="C7" s="2">
        <v>85</v>
      </c>
      <c r="D7" s="2">
        <v>100</v>
      </c>
      <c r="E7" s="2"/>
      <c r="F7" s="2"/>
    </row>
    <row r="8" spans="1:6">
      <c r="A8" s="3" t="s">
        <v>30</v>
      </c>
      <c r="B8" s="2"/>
      <c r="C8" s="2"/>
      <c r="D8" s="2"/>
      <c r="E8" s="53"/>
      <c r="F8" s="53"/>
    </row>
    <row r="9" spans="1:6">
      <c r="A9" s="3" t="s">
        <v>31</v>
      </c>
      <c r="B9" s="2"/>
      <c r="C9" s="2"/>
      <c r="D9" s="2"/>
      <c r="E9" s="53"/>
      <c r="F9" s="53"/>
    </row>
    <row r="10" spans="1:6">
      <c r="A10" s="3" t="s">
        <v>32</v>
      </c>
      <c r="B10" s="2"/>
      <c r="C10" s="2"/>
      <c r="D10" s="2"/>
      <c r="E10" s="53"/>
      <c r="F10" s="53"/>
    </row>
    <row r="11" spans="1:6">
      <c r="A11" s="3" t="s">
        <v>33</v>
      </c>
      <c r="B11" s="2"/>
      <c r="C11" s="2"/>
      <c r="D11" s="2"/>
      <c r="E11" s="53"/>
      <c r="F11" s="53"/>
    </row>
  </sheetData>
  <mergeCells count="2">
    <mergeCell ref="A1:F1"/>
    <mergeCell ref="E8:F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6AA11-5FF4-4D32-B60C-26A8AACFD05C}">
  <sheetPr codeName="Sheet5"/>
  <dimension ref="A1:D12"/>
  <sheetViews>
    <sheetView workbookViewId="0">
      <selection sqref="A1:D1"/>
    </sheetView>
  </sheetViews>
  <sheetFormatPr defaultRowHeight="17"/>
  <cols>
    <col min="1" max="1" width="25.08203125" bestFit="1" customWidth="1"/>
  </cols>
  <sheetData>
    <row r="1" spans="1:4">
      <c r="A1" s="52" t="s">
        <v>34</v>
      </c>
      <c r="B1" s="52"/>
      <c r="C1" s="52"/>
      <c r="D1" s="52"/>
    </row>
    <row r="2" spans="1:4">
      <c r="A2" s="2" t="s">
        <v>18</v>
      </c>
      <c r="B2" s="2" t="s">
        <v>19</v>
      </c>
      <c r="C2" s="2" t="s">
        <v>20</v>
      </c>
      <c r="D2" s="2" t="s">
        <v>21</v>
      </c>
    </row>
    <row r="3" spans="1:4">
      <c r="A3" s="2" t="s">
        <v>24</v>
      </c>
      <c r="B3" s="2">
        <v>90</v>
      </c>
      <c r="C3" s="2">
        <v>78</v>
      </c>
      <c r="D3" s="2">
        <v>72</v>
      </c>
    </row>
    <row r="4" spans="1:4">
      <c r="A4" s="2" t="s">
        <v>25</v>
      </c>
      <c r="B4" s="2">
        <v>85</v>
      </c>
      <c r="C4" s="2">
        <v>95</v>
      </c>
      <c r="D4" s="2">
        <v>0</v>
      </c>
    </row>
    <row r="5" spans="1:4">
      <c r="A5" s="2" t="s">
        <v>26</v>
      </c>
      <c r="B5" s="2"/>
      <c r="C5" s="2">
        <v>85</v>
      </c>
      <c r="D5" s="2">
        <v>65</v>
      </c>
    </row>
    <row r="6" spans="1:4">
      <c r="A6" s="2" t="s">
        <v>28</v>
      </c>
      <c r="B6" s="2">
        <v>92</v>
      </c>
      <c r="C6" s="2"/>
      <c r="D6" s="2">
        <v>94</v>
      </c>
    </row>
    <row r="7" spans="1:4">
      <c r="A7" s="2" t="s">
        <v>29</v>
      </c>
      <c r="B7" s="2">
        <v>89</v>
      </c>
      <c r="C7" s="2">
        <v>92</v>
      </c>
      <c r="D7" s="2">
        <v>100</v>
      </c>
    </row>
    <row r="8" spans="1:4">
      <c r="A8" s="3" t="s">
        <v>35</v>
      </c>
      <c r="B8" s="2"/>
      <c r="C8" s="2"/>
      <c r="D8" s="2"/>
    </row>
    <row r="9" spans="1:4">
      <c r="A9" s="3" t="s">
        <v>36</v>
      </c>
      <c r="B9" s="2"/>
      <c r="C9" s="2"/>
      <c r="D9" s="2"/>
    </row>
    <row r="10" spans="1:4">
      <c r="A10" s="3" t="s">
        <v>37</v>
      </c>
      <c r="B10" s="2"/>
      <c r="C10" s="2"/>
      <c r="D10" s="2"/>
    </row>
    <row r="11" spans="1:4">
      <c r="A11" s="3" t="s">
        <v>38</v>
      </c>
      <c r="B11" s="2"/>
      <c r="C11" s="2"/>
      <c r="D11" s="2"/>
    </row>
    <row r="12" spans="1:4">
      <c r="A12" s="3" t="s">
        <v>39</v>
      </c>
      <c r="B12" s="2"/>
      <c r="C12" s="2"/>
      <c r="D12" s="2"/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B90EB-B59C-47C6-883A-B1392F9C579C}">
  <sheetPr codeName="Sheet7"/>
  <dimension ref="A1:F9"/>
  <sheetViews>
    <sheetView workbookViewId="0">
      <selection sqref="A1:F1"/>
    </sheetView>
  </sheetViews>
  <sheetFormatPr defaultRowHeight="17"/>
  <cols>
    <col min="1" max="1" width="10.58203125" bestFit="1" customWidth="1"/>
    <col min="6" max="6" width="9.25" customWidth="1"/>
  </cols>
  <sheetData>
    <row r="1" spans="1:6">
      <c r="A1" s="54" t="s">
        <v>17</v>
      </c>
      <c r="B1" s="54"/>
      <c r="C1" s="54"/>
      <c r="D1" s="54"/>
      <c r="E1" s="54"/>
      <c r="F1" s="54"/>
    </row>
    <row r="2" spans="1:6">
      <c r="A2" s="2" t="s">
        <v>18</v>
      </c>
      <c r="B2" s="2" t="s">
        <v>19</v>
      </c>
      <c r="C2" s="2" t="s">
        <v>20</v>
      </c>
      <c r="D2" s="2" t="s">
        <v>21</v>
      </c>
      <c r="E2" s="2" t="s">
        <v>40</v>
      </c>
      <c r="F2" s="3" t="s">
        <v>41</v>
      </c>
    </row>
    <row r="3" spans="1:6">
      <c r="A3" s="2" t="s">
        <v>24</v>
      </c>
      <c r="B3" s="2">
        <v>80</v>
      </c>
      <c r="C3" s="2">
        <v>95</v>
      </c>
      <c r="D3" s="2">
        <v>83</v>
      </c>
      <c r="E3" s="2">
        <f>SUM(B3:D3)</f>
        <v>258</v>
      </c>
      <c r="F3" s="2"/>
    </row>
    <row r="4" spans="1:6">
      <c r="A4" s="2" t="s">
        <v>25</v>
      </c>
      <c r="B4" s="2">
        <v>60</v>
      </c>
      <c r="C4" s="2">
        <v>0</v>
      </c>
      <c r="D4" s="2">
        <v>100</v>
      </c>
      <c r="E4" s="2">
        <f>SUM(B4:D4)</f>
        <v>160</v>
      </c>
      <c r="F4" s="2"/>
    </row>
    <row r="5" spans="1:6">
      <c r="A5" s="2" t="s">
        <v>26</v>
      </c>
      <c r="B5" s="2"/>
      <c r="C5" s="2">
        <v>90</v>
      </c>
      <c r="D5" s="2">
        <v>70</v>
      </c>
      <c r="E5" s="2">
        <f>SUM(B5:D5)</f>
        <v>160</v>
      </c>
      <c r="F5" s="2"/>
    </row>
    <row r="6" spans="1:6">
      <c r="A6" s="2" t="s">
        <v>28</v>
      </c>
      <c r="B6" s="2">
        <v>95</v>
      </c>
      <c r="C6" s="2">
        <v>100</v>
      </c>
      <c r="D6" s="2"/>
      <c r="E6" s="2">
        <f>SUM(B6:D6)</f>
        <v>195</v>
      </c>
      <c r="F6" s="2"/>
    </row>
    <row r="7" spans="1:6">
      <c r="A7" s="2" t="s">
        <v>29</v>
      </c>
      <c r="B7" s="2">
        <v>100</v>
      </c>
      <c r="C7" s="2">
        <v>95</v>
      </c>
      <c r="D7" s="2">
        <v>75</v>
      </c>
      <c r="E7" s="2">
        <f>SUM(B7:D7)</f>
        <v>270</v>
      </c>
      <c r="F7" s="2"/>
    </row>
    <row r="8" spans="1:6">
      <c r="A8" s="3" t="s">
        <v>42</v>
      </c>
      <c r="B8" s="2"/>
      <c r="C8" s="2"/>
      <c r="D8" s="2"/>
      <c r="E8" s="2"/>
      <c r="F8" s="55"/>
    </row>
    <row r="9" spans="1:6">
      <c r="A9" s="3" t="s">
        <v>43</v>
      </c>
      <c r="B9" s="2"/>
      <c r="C9" s="2"/>
      <c r="D9" s="2"/>
      <c r="E9" s="2"/>
      <c r="F9" s="56"/>
    </row>
  </sheetData>
  <mergeCells count="2">
    <mergeCell ref="A1:F1"/>
    <mergeCell ref="F8:F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944B7-8F77-4FC7-82B6-86F35FAC4C68}">
  <sheetPr codeName="Sheet9"/>
  <dimension ref="A1:H15"/>
  <sheetViews>
    <sheetView workbookViewId="0"/>
  </sheetViews>
  <sheetFormatPr defaultColWidth="9" defaultRowHeight="17"/>
  <cols>
    <col min="1" max="1" width="13.75" style="5" customWidth="1"/>
    <col min="2" max="4" width="9" style="5"/>
    <col min="5" max="5" width="1.33203125" style="5" customWidth="1"/>
    <col min="6" max="7" width="6.08203125" style="5" customWidth="1"/>
    <col min="8" max="16384" width="9" style="5"/>
  </cols>
  <sheetData>
    <row r="1" spans="1:8">
      <c r="A1" s="4" t="s">
        <v>44</v>
      </c>
      <c r="F1" s="6" t="s">
        <v>45</v>
      </c>
    </row>
    <row r="2" spans="1:8">
      <c r="A2" s="7" t="s">
        <v>46</v>
      </c>
      <c r="B2" s="7" t="s">
        <v>47</v>
      </c>
      <c r="C2" s="7" t="s">
        <v>48</v>
      </c>
      <c r="D2" s="7" t="s">
        <v>40</v>
      </c>
      <c r="F2" s="57" t="s">
        <v>49</v>
      </c>
      <c r="G2" s="57"/>
      <c r="H2" s="8" t="s">
        <v>50</v>
      </c>
    </row>
    <row r="3" spans="1:8">
      <c r="A3" s="7" t="s">
        <v>24</v>
      </c>
      <c r="B3" s="7">
        <v>90</v>
      </c>
      <c r="C3" s="7">
        <v>78</v>
      </c>
      <c r="D3" s="7">
        <f>SUM(B3:C3)</f>
        <v>168</v>
      </c>
      <c r="F3" s="9" t="s">
        <v>51</v>
      </c>
      <c r="G3" s="10">
        <v>140</v>
      </c>
      <c r="H3" s="7"/>
    </row>
    <row r="4" spans="1:8">
      <c r="A4" s="7" t="s">
        <v>52</v>
      </c>
      <c r="B4" s="7">
        <v>85</v>
      </c>
      <c r="C4" s="7">
        <v>94</v>
      </c>
      <c r="D4" s="7">
        <f t="shared" ref="D4:D8" si="0">SUM(B4:C4)</f>
        <v>179</v>
      </c>
      <c r="F4" s="9" t="s">
        <v>53</v>
      </c>
      <c r="G4" s="10">
        <v>160</v>
      </c>
      <c r="H4" s="7"/>
    </row>
    <row r="5" spans="1:8">
      <c r="A5" s="7" t="s">
        <v>54</v>
      </c>
      <c r="B5" s="7">
        <v>92</v>
      </c>
      <c r="C5" s="7">
        <v>95</v>
      </c>
      <c r="D5" s="7">
        <f t="shared" si="0"/>
        <v>187</v>
      </c>
      <c r="F5" s="9" t="s">
        <v>55</v>
      </c>
      <c r="G5" s="10">
        <v>180</v>
      </c>
      <c r="H5" s="7"/>
    </row>
    <row r="6" spans="1:8">
      <c r="A6" s="7" t="s">
        <v>56</v>
      </c>
      <c r="B6" s="7">
        <v>92</v>
      </c>
      <c r="C6" s="7">
        <v>95</v>
      </c>
      <c r="D6" s="7">
        <f t="shared" si="0"/>
        <v>187</v>
      </c>
      <c r="E6" s="5" t="s">
        <v>57</v>
      </c>
      <c r="F6" s="9" t="s">
        <v>58</v>
      </c>
      <c r="G6" s="10">
        <v>200</v>
      </c>
      <c r="H6" s="7"/>
    </row>
    <row r="7" spans="1:8">
      <c r="A7" s="7" t="s">
        <v>59</v>
      </c>
      <c r="B7" s="7">
        <v>74</v>
      </c>
      <c r="C7" s="7">
        <v>60</v>
      </c>
      <c r="D7" s="7">
        <f t="shared" si="0"/>
        <v>134</v>
      </c>
    </row>
    <row r="8" spans="1:8">
      <c r="A8" s="7" t="s">
        <v>60</v>
      </c>
      <c r="B8" s="7">
        <v>95</v>
      </c>
      <c r="C8" s="7">
        <v>100</v>
      </c>
      <c r="D8" s="7">
        <f t="shared" si="0"/>
        <v>195</v>
      </c>
    </row>
    <row r="9" spans="1:8">
      <c r="A9" s="8" t="s">
        <v>61</v>
      </c>
      <c r="B9" s="7"/>
      <c r="C9" s="7"/>
      <c r="D9" s="7"/>
    </row>
    <row r="10" spans="1:8">
      <c r="A10" s="8" t="s">
        <v>62</v>
      </c>
      <c r="B10" s="7"/>
      <c r="C10" s="7"/>
      <c r="D10" s="7"/>
    </row>
    <row r="11" spans="1:8">
      <c r="A11" s="8" t="s">
        <v>63</v>
      </c>
      <c r="B11" s="7"/>
      <c r="C11" s="7"/>
      <c r="D11" s="7"/>
    </row>
    <row r="12" spans="1:8">
      <c r="A12" s="8" t="s">
        <v>64</v>
      </c>
      <c r="B12" s="7"/>
      <c r="C12" s="7"/>
      <c r="D12" s="7"/>
    </row>
    <row r="13" spans="1:8">
      <c r="A13" s="8" t="s">
        <v>65</v>
      </c>
      <c r="B13" s="7"/>
      <c r="C13" s="7"/>
      <c r="D13" s="7"/>
    </row>
    <row r="14" spans="1:8">
      <c r="A14" s="8" t="s">
        <v>66</v>
      </c>
      <c r="B14" s="7"/>
      <c r="C14" s="7"/>
      <c r="D14" s="7"/>
    </row>
    <row r="15" spans="1:8">
      <c r="A15" s="8" t="s">
        <v>67</v>
      </c>
      <c r="B15" s="7"/>
      <c r="C15" s="7"/>
      <c r="D15" s="7"/>
    </row>
  </sheetData>
  <mergeCells count="1">
    <mergeCell ref="F2:G2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E4BB-4251-48B9-B51D-B9584DE84BA1}">
  <sheetPr codeName="Sheet11"/>
  <dimension ref="A1:E17"/>
  <sheetViews>
    <sheetView workbookViewId="0">
      <selection sqref="A1:E1"/>
    </sheetView>
  </sheetViews>
  <sheetFormatPr defaultRowHeight="17"/>
  <cols>
    <col min="1" max="5" width="13.58203125" customWidth="1"/>
  </cols>
  <sheetData>
    <row r="1" spans="1:5">
      <c r="A1" s="59" t="s">
        <v>68</v>
      </c>
      <c r="B1" s="59"/>
      <c r="C1" s="59"/>
      <c r="D1" s="59"/>
      <c r="E1" s="59"/>
    </row>
    <row r="3" spans="1:5">
      <c r="A3" s="2" t="s">
        <v>18</v>
      </c>
      <c r="B3" s="2" t="s">
        <v>69</v>
      </c>
      <c r="C3" s="2" t="s">
        <v>70</v>
      </c>
      <c r="D3" s="2" t="s">
        <v>71</v>
      </c>
      <c r="E3" s="2" t="s">
        <v>72</v>
      </c>
    </row>
    <row r="4" spans="1:5">
      <c r="A4" s="2" t="s">
        <v>24</v>
      </c>
      <c r="B4" s="2" t="s">
        <v>73</v>
      </c>
      <c r="C4" s="11">
        <v>10</v>
      </c>
      <c r="D4" s="11">
        <v>1300</v>
      </c>
      <c r="E4" s="11">
        <f>PRODUCT(C4:D4)</f>
        <v>13000</v>
      </c>
    </row>
    <row r="5" spans="1:5">
      <c r="A5" s="2" t="s">
        <v>25</v>
      </c>
      <c r="B5" s="2" t="s">
        <v>74</v>
      </c>
      <c r="C5" s="11">
        <v>15</v>
      </c>
      <c r="D5" s="11">
        <v>1200</v>
      </c>
      <c r="E5" s="11">
        <f t="shared" ref="E5:E12" si="0">PRODUCT(C5:D5)</f>
        <v>18000</v>
      </c>
    </row>
    <row r="6" spans="1:5">
      <c r="A6" s="2" t="s">
        <v>26</v>
      </c>
      <c r="B6" s="2" t="s">
        <v>75</v>
      </c>
      <c r="C6" s="11">
        <v>20</v>
      </c>
      <c r="D6" s="11">
        <v>2000</v>
      </c>
      <c r="E6" s="11">
        <f t="shared" si="0"/>
        <v>40000</v>
      </c>
    </row>
    <row r="7" spans="1:5">
      <c r="A7" s="2" t="s">
        <v>28</v>
      </c>
      <c r="B7" s="2" t="s">
        <v>76</v>
      </c>
      <c r="C7" s="11">
        <v>13</v>
      </c>
      <c r="D7" s="11">
        <v>1400</v>
      </c>
      <c r="E7" s="11">
        <f t="shared" si="0"/>
        <v>18200</v>
      </c>
    </row>
    <row r="8" spans="1:5">
      <c r="A8" s="2" t="s">
        <v>24</v>
      </c>
      <c r="B8" s="2" t="s">
        <v>74</v>
      </c>
      <c r="C8" s="11">
        <v>8</v>
      </c>
      <c r="D8" s="11">
        <v>1200</v>
      </c>
      <c r="E8" s="11">
        <f t="shared" si="0"/>
        <v>9600</v>
      </c>
    </row>
    <row r="9" spans="1:5">
      <c r="A9" s="2" t="s">
        <v>25</v>
      </c>
      <c r="B9" s="2" t="s">
        <v>76</v>
      </c>
      <c r="C9" s="11">
        <v>23</v>
      </c>
      <c r="D9" s="11">
        <v>1400</v>
      </c>
      <c r="E9" s="11">
        <f t="shared" si="0"/>
        <v>32200</v>
      </c>
    </row>
    <row r="10" spans="1:5">
      <c r="A10" s="2" t="s">
        <v>26</v>
      </c>
      <c r="B10" s="2" t="s">
        <v>75</v>
      </c>
      <c r="C10" s="11">
        <v>18</v>
      </c>
      <c r="D10" s="11">
        <v>2000</v>
      </c>
      <c r="E10" s="11">
        <f t="shared" si="0"/>
        <v>36000</v>
      </c>
    </row>
    <row r="11" spans="1:5">
      <c r="A11" s="2" t="s">
        <v>28</v>
      </c>
      <c r="B11" s="2" t="s">
        <v>73</v>
      </c>
      <c r="C11" s="11">
        <v>19</v>
      </c>
      <c r="D11" s="11">
        <v>1300</v>
      </c>
      <c r="E11" s="11">
        <f t="shared" si="0"/>
        <v>24700</v>
      </c>
    </row>
    <row r="12" spans="1:5">
      <c r="A12" s="2" t="s">
        <v>26</v>
      </c>
      <c r="B12" s="2" t="s">
        <v>76</v>
      </c>
      <c r="C12" s="11">
        <v>24</v>
      </c>
      <c r="D12" s="11">
        <v>1400</v>
      </c>
      <c r="E12" s="11">
        <f t="shared" si="0"/>
        <v>33600</v>
      </c>
    </row>
    <row r="13" spans="1:5">
      <c r="A13" s="58" t="s">
        <v>22</v>
      </c>
      <c r="B13" s="58"/>
      <c r="C13" s="11"/>
      <c r="D13" s="11"/>
      <c r="E13" s="11"/>
    </row>
    <row r="14" spans="1:5">
      <c r="A14" s="58" t="s">
        <v>77</v>
      </c>
      <c r="B14" s="58"/>
      <c r="C14" s="11"/>
      <c r="D14" s="11"/>
      <c r="E14" s="11"/>
    </row>
    <row r="15" spans="1:5">
      <c r="A15" s="58" t="s">
        <v>78</v>
      </c>
      <c r="B15" s="58"/>
      <c r="C15" s="11"/>
      <c r="D15" s="11"/>
      <c r="E15" s="11"/>
    </row>
    <row r="16" spans="1:5">
      <c r="A16" s="60" t="s">
        <v>79</v>
      </c>
      <c r="B16" s="60"/>
      <c r="C16" s="60"/>
      <c r="D16" s="60"/>
      <c r="E16" s="11"/>
    </row>
    <row r="17" spans="1:5">
      <c r="A17" s="58" t="s">
        <v>80</v>
      </c>
      <c r="B17" s="58"/>
      <c r="C17" s="58"/>
      <c r="D17" s="58"/>
      <c r="E17" s="11"/>
    </row>
  </sheetData>
  <mergeCells count="6">
    <mergeCell ref="A17:D17"/>
    <mergeCell ref="A1:E1"/>
    <mergeCell ref="A13:B13"/>
    <mergeCell ref="A14:B14"/>
    <mergeCell ref="A15:B15"/>
    <mergeCell ref="A16:D16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34534-833E-42DE-B574-99A9D250F23F}">
  <sheetPr codeName="Sheet13"/>
  <dimension ref="A1:D7"/>
  <sheetViews>
    <sheetView workbookViewId="0"/>
  </sheetViews>
  <sheetFormatPr defaultRowHeight="17"/>
  <sheetData>
    <row r="1" spans="1:4">
      <c r="A1" s="12" t="s">
        <v>81</v>
      </c>
    </row>
    <row r="2" spans="1:4">
      <c r="A2" s="2" t="s">
        <v>82</v>
      </c>
      <c r="B2" s="7" t="s">
        <v>83</v>
      </c>
      <c r="C2" s="7" t="s">
        <v>84</v>
      </c>
    </row>
    <row r="3" spans="1:4">
      <c r="A3" s="2" t="s">
        <v>85</v>
      </c>
      <c r="B3" s="13">
        <v>0.4</v>
      </c>
      <c r="C3" s="13">
        <v>0.6</v>
      </c>
    </row>
    <row r="5" spans="1:4">
      <c r="A5" t="s">
        <v>86</v>
      </c>
    </row>
    <row r="6" spans="1:4">
      <c r="A6" s="7" t="s">
        <v>46</v>
      </c>
      <c r="B6" s="7" t="s">
        <v>47</v>
      </c>
      <c r="C6" s="7" t="s">
        <v>48</v>
      </c>
      <c r="D6" s="8" t="s">
        <v>87</v>
      </c>
    </row>
    <row r="7" spans="1:4">
      <c r="A7" s="7" t="s">
        <v>24</v>
      </c>
      <c r="B7" s="7">
        <v>90</v>
      </c>
      <c r="C7" s="7">
        <v>78</v>
      </c>
      <c r="D7" s="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75C62-7D05-4215-848D-3F4C09479D42}">
  <sheetPr codeName="Sheet15"/>
  <dimension ref="A1:B3"/>
  <sheetViews>
    <sheetView workbookViewId="0">
      <selection sqref="A1:B1"/>
    </sheetView>
  </sheetViews>
  <sheetFormatPr defaultRowHeight="17"/>
  <cols>
    <col min="1" max="2" width="16.5" customWidth="1"/>
  </cols>
  <sheetData>
    <row r="1" spans="1:2">
      <c r="A1" s="61" t="s">
        <v>88</v>
      </c>
      <c r="B1" s="61"/>
    </row>
    <row r="2" spans="1:2">
      <c r="A2" s="2" t="s">
        <v>89</v>
      </c>
      <c r="B2" s="2" t="s">
        <v>90</v>
      </c>
    </row>
    <row r="3" spans="1:2">
      <c r="A3" s="14">
        <v>38050</v>
      </c>
      <c r="B3" s="15">
        <v>0.41452546296296294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C1EAC-B079-4F9A-BC61-3493DD444650}">
  <sheetPr codeName="Sheet17"/>
  <dimension ref="A1:E4"/>
  <sheetViews>
    <sheetView workbookViewId="0">
      <selection sqref="A1:E1"/>
    </sheetView>
  </sheetViews>
  <sheetFormatPr defaultRowHeight="17"/>
  <sheetData>
    <row r="1" spans="1:5">
      <c r="A1" s="61" t="s">
        <v>91</v>
      </c>
      <c r="B1" s="61"/>
      <c r="C1" s="61"/>
      <c r="D1" s="61"/>
      <c r="E1" s="61"/>
    </row>
    <row r="2" spans="1:5">
      <c r="A2" s="2" t="s">
        <v>92</v>
      </c>
      <c r="B2" s="2" t="s">
        <v>93</v>
      </c>
      <c r="C2" s="2" t="s">
        <v>94</v>
      </c>
      <c r="D2" s="2" t="s">
        <v>95</v>
      </c>
      <c r="E2" s="3" t="s">
        <v>96</v>
      </c>
    </row>
    <row r="3" spans="1:5">
      <c r="A3" s="2" t="s">
        <v>97</v>
      </c>
      <c r="B3" s="2" t="s">
        <v>98</v>
      </c>
      <c r="C3" s="2" t="s">
        <v>99</v>
      </c>
      <c r="D3" s="2" t="s">
        <v>100</v>
      </c>
      <c r="E3" s="2"/>
    </row>
    <row r="4" spans="1:5">
      <c r="A4" s="2" t="s">
        <v>101</v>
      </c>
      <c r="B4" s="2" t="s">
        <v>102</v>
      </c>
      <c r="C4" s="2" t="s">
        <v>103</v>
      </c>
      <c r="D4" s="2" t="s">
        <v>104</v>
      </c>
      <c r="E4" s="2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DF176-AA80-4442-825F-9B7F66D9304D}">
  <sheetPr codeName="Sheet19"/>
  <dimension ref="A1:G8"/>
  <sheetViews>
    <sheetView workbookViewId="0">
      <selection sqref="A1:G1"/>
    </sheetView>
  </sheetViews>
  <sheetFormatPr defaultRowHeight="17"/>
  <cols>
    <col min="2" max="2" width="13.6640625" bestFit="1" customWidth="1"/>
  </cols>
  <sheetData>
    <row r="1" spans="1:7">
      <c r="A1" s="61" t="s">
        <v>105</v>
      </c>
      <c r="B1" s="61"/>
      <c r="C1" s="61"/>
      <c r="D1" s="61"/>
      <c r="E1" s="61"/>
      <c r="F1" s="61"/>
      <c r="G1" s="61"/>
    </row>
    <row r="2" spans="1:7">
      <c r="A2" s="2" t="s">
        <v>106</v>
      </c>
      <c r="B2" s="2" t="s">
        <v>107</v>
      </c>
      <c r="C2" s="2" t="s">
        <v>108</v>
      </c>
      <c r="D2" s="2" t="s">
        <v>109</v>
      </c>
      <c r="E2" s="2" t="s">
        <v>110</v>
      </c>
      <c r="F2" s="2" t="s">
        <v>111</v>
      </c>
      <c r="G2" s="3" t="s">
        <v>112</v>
      </c>
    </row>
    <row r="3" spans="1:7">
      <c r="A3" s="2" t="s">
        <v>113</v>
      </c>
      <c r="B3" s="2" t="s">
        <v>114</v>
      </c>
      <c r="C3" s="2" t="s">
        <v>115</v>
      </c>
      <c r="D3" s="2">
        <v>100</v>
      </c>
      <c r="E3" s="2">
        <v>78</v>
      </c>
      <c r="F3" s="2">
        <v>100</v>
      </c>
      <c r="G3" s="2"/>
    </row>
    <row r="4" spans="1:7">
      <c r="A4" s="2" t="s">
        <v>116</v>
      </c>
      <c r="B4" s="2" t="s">
        <v>117</v>
      </c>
      <c r="C4" s="2" t="s">
        <v>118</v>
      </c>
      <c r="D4" s="2">
        <v>78</v>
      </c>
      <c r="E4" s="2">
        <v>59</v>
      </c>
      <c r="F4" s="2">
        <v>96</v>
      </c>
      <c r="G4" s="2"/>
    </row>
    <row r="5" spans="1:7">
      <c r="A5" s="2" t="s">
        <v>119</v>
      </c>
      <c r="B5" s="2" t="s">
        <v>120</v>
      </c>
      <c r="C5" s="2" t="s">
        <v>121</v>
      </c>
      <c r="D5" s="2">
        <v>87</v>
      </c>
      <c r="E5" s="2">
        <v>65</v>
      </c>
      <c r="F5" s="2">
        <v>85</v>
      </c>
      <c r="G5" s="2"/>
    </row>
    <row r="6" spans="1:7">
      <c r="A6" s="2" t="s">
        <v>122</v>
      </c>
      <c r="B6" s="2" t="s">
        <v>123</v>
      </c>
      <c r="C6" s="2" t="s">
        <v>124</v>
      </c>
      <c r="D6" s="2">
        <v>93</v>
      </c>
      <c r="E6" s="2">
        <v>91</v>
      </c>
      <c r="F6" s="2">
        <v>98</v>
      </c>
      <c r="G6" s="2"/>
    </row>
    <row r="7" spans="1:7">
      <c r="A7" s="2" t="s">
        <v>125</v>
      </c>
      <c r="B7" s="2" t="s">
        <v>126</v>
      </c>
      <c r="C7" s="2" t="s">
        <v>127</v>
      </c>
      <c r="D7" s="2">
        <v>75</v>
      </c>
      <c r="E7" s="2">
        <v>78</v>
      </c>
      <c r="F7" s="2">
        <v>88</v>
      </c>
      <c r="G7" s="2"/>
    </row>
    <row r="8" spans="1:7">
      <c r="A8" s="2" t="s">
        <v>128</v>
      </c>
      <c r="B8" s="2" t="s">
        <v>129</v>
      </c>
      <c r="C8" s="2" t="s">
        <v>130</v>
      </c>
      <c r="D8" s="2">
        <v>94</v>
      </c>
      <c r="E8" s="2">
        <v>82</v>
      </c>
      <c r="F8" s="2">
        <v>79</v>
      </c>
      <c r="G8" s="2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2227-A17E-4402-A074-FDAE3424928D}">
  <sheetPr codeName="Sheet21"/>
  <dimension ref="A1:B5"/>
  <sheetViews>
    <sheetView workbookViewId="0"/>
  </sheetViews>
  <sheetFormatPr defaultRowHeight="17"/>
  <cols>
    <col min="1" max="2" width="10.5" customWidth="1"/>
  </cols>
  <sheetData>
    <row r="1" spans="1:2">
      <c r="A1" t="s">
        <v>131</v>
      </c>
    </row>
    <row r="2" spans="1:2">
      <c r="A2" t="s">
        <v>132</v>
      </c>
      <c r="B2">
        <v>2</v>
      </c>
    </row>
    <row r="3" spans="1:2">
      <c r="A3" t="e">
        <v>#N/A</v>
      </c>
      <c r="B3">
        <v>8</v>
      </c>
    </row>
    <row r="4" spans="1:2">
      <c r="A4" s="16">
        <v>506000</v>
      </c>
      <c r="B4">
        <v>65</v>
      </c>
    </row>
    <row r="5" spans="1:2">
      <c r="A5" t="e">
        <v>#NAME?</v>
      </c>
      <c r="B5" t="b">
        <v>1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80C0C-A6A7-486E-AC62-6EAB485ADF8C}">
  <sheetPr codeName="Sheet23"/>
  <dimension ref="A1:D12"/>
  <sheetViews>
    <sheetView workbookViewId="0"/>
  </sheetViews>
  <sheetFormatPr defaultRowHeight="17"/>
  <sheetData>
    <row r="1" spans="1:4">
      <c r="A1" s="2"/>
      <c r="B1" s="17">
        <v>10</v>
      </c>
      <c r="C1" s="17">
        <v>20</v>
      </c>
      <c r="D1" s="17">
        <v>30</v>
      </c>
    </row>
    <row r="2" spans="1:4">
      <c r="A2" s="17" t="s">
        <v>133</v>
      </c>
      <c r="B2" s="2" t="s">
        <v>134</v>
      </c>
      <c r="C2" s="2" t="s">
        <v>135</v>
      </c>
      <c r="D2" s="2" t="s">
        <v>136</v>
      </c>
    </row>
    <row r="3" spans="1:4">
      <c r="A3" s="17" t="s">
        <v>137</v>
      </c>
      <c r="B3" s="2" t="s">
        <v>138</v>
      </c>
      <c r="C3" s="2" t="s">
        <v>139</v>
      </c>
      <c r="D3" s="2" t="s">
        <v>140</v>
      </c>
    </row>
    <row r="4" spans="1:4">
      <c r="A4" s="17" t="s">
        <v>141</v>
      </c>
      <c r="B4" s="2" t="s">
        <v>142</v>
      </c>
      <c r="C4" s="2" t="s">
        <v>143</v>
      </c>
      <c r="D4" s="2" t="s">
        <v>144</v>
      </c>
    </row>
    <row r="5" spans="1:4">
      <c r="A5" s="17" t="s">
        <v>145</v>
      </c>
      <c r="B5" s="2" t="s">
        <v>146</v>
      </c>
      <c r="C5" s="2" t="s">
        <v>147</v>
      </c>
      <c r="D5" s="2" t="s">
        <v>148</v>
      </c>
    </row>
    <row r="7" spans="1:4">
      <c r="A7" s="62" t="s">
        <v>149</v>
      </c>
      <c r="B7" s="62"/>
    </row>
    <row r="8" spans="1:4">
      <c r="A8" s="2" t="s">
        <v>150</v>
      </c>
      <c r="B8" s="2" t="s">
        <v>151</v>
      </c>
    </row>
    <row r="9" spans="1:4">
      <c r="A9" s="2">
        <v>1</v>
      </c>
      <c r="B9" s="13">
        <v>0</v>
      </c>
    </row>
    <row r="10" spans="1:4">
      <c r="A10" s="2">
        <v>30</v>
      </c>
      <c r="B10" s="13">
        <v>0.03</v>
      </c>
    </row>
    <row r="11" spans="1:4">
      <c r="A11" s="2">
        <v>50</v>
      </c>
      <c r="B11" s="13">
        <v>0.05</v>
      </c>
    </row>
    <row r="12" spans="1:4">
      <c r="A12" s="2">
        <v>100</v>
      </c>
      <c r="B12" s="13">
        <v>0.1</v>
      </c>
    </row>
  </sheetData>
  <mergeCells count="1">
    <mergeCell ref="A7:B7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32095-274C-403F-922C-4E62CBB8A3A5}">
  <sheetPr codeName="Sheet24"/>
  <dimension ref="A1:J12"/>
  <sheetViews>
    <sheetView workbookViewId="0">
      <selection sqref="A1:G1"/>
    </sheetView>
  </sheetViews>
  <sheetFormatPr defaultRowHeight="17"/>
  <cols>
    <col min="2" max="2" width="7.08203125" customWidth="1"/>
    <col min="4" max="5" width="8.08203125" customWidth="1"/>
    <col min="6" max="7" width="9.5" bestFit="1" customWidth="1"/>
    <col min="8" max="8" width="2.58203125" customWidth="1"/>
    <col min="9" max="9" width="6.58203125" customWidth="1"/>
  </cols>
  <sheetData>
    <row r="1" spans="1:10">
      <c r="A1" s="61" t="s">
        <v>152</v>
      </c>
      <c r="B1" s="61"/>
      <c r="C1" s="61"/>
      <c r="D1" s="61"/>
      <c r="E1" s="61"/>
      <c r="F1" s="61"/>
      <c r="G1" s="61"/>
    </row>
    <row r="3" spans="1:10">
      <c r="A3" s="2" t="s">
        <v>92</v>
      </c>
      <c r="B3" s="2" t="s">
        <v>153</v>
      </c>
      <c r="C3" s="2" t="s">
        <v>154</v>
      </c>
      <c r="D3" s="3" t="s">
        <v>155</v>
      </c>
      <c r="E3" s="3" t="s">
        <v>156</v>
      </c>
      <c r="F3" s="3" t="s">
        <v>157</v>
      </c>
      <c r="G3" s="3" t="s">
        <v>158</v>
      </c>
      <c r="I3" s="2" t="s">
        <v>153</v>
      </c>
      <c r="J3" s="2" t="s">
        <v>159</v>
      </c>
    </row>
    <row r="4" spans="1:10">
      <c r="A4" s="2" t="s">
        <v>160</v>
      </c>
      <c r="B4" s="2" t="s">
        <v>161</v>
      </c>
      <c r="C4" s="2">
        <v>9</v>
      </c>
      <c r="D4" s="2"/>
      <c r="E4" s="2"/>
      <c r="F4" s="2"/>
      <c r="G4" s="2"/>
      <c r="I4" s="2" t="s">
        <v>161</v>
      </c>
      <c r="J4" s="2" t="s">
        <v>162</v>
      </c>
    </row>
    <row r="5" spans="1:10">
      <c r="A5" s="2" t="s">
        <v>163</v>
      </c>
      <c r="B5" s="2" t="s">
        <v>164</v>
      </c>
      <c r="C5" s="2">
        <v>8</v>
      </c>
      <c r="D5" s="2"/>
      <c r="E5" s="2"/>
      <c r="F5" s="2"/>
      <c r="G5" s="2"/>
      <c r="I5" s="2" t="s">
        <v>164</v>
      </c>
      <c r="J5" s="2" t="s">
        <v>165</v>
      </c>
    </row>
    <row r="6" spans="1:10">
      <c r="A6" s="2" t="s">
        <v>166</v>
      </c>
      <c r="B6" s="2" t="s">
        <v>167</v>
      </c>
      <c r="C6" s="2">
        <v>6</v>
      </c>
      <c r="D6" s="2"/>
      <c r="E6" s="2"/>
      <c r="F6" s="2"/>
      <c r="G6" s="2"/>
      <c r="I6" s="2" t="s">
        <v>167</v>
      </c>
      <c r="J6" s="2" t="s">
        <v>168</v>
      </c>
    </row>
    <row r="7" spans="1:10">
      <c r="A7" s="2" t="s">
        <v>169</v>
      </c>
      <c r="B7" s="2" t="s">
        <v>170</v>
      </c>
      <c r="C7" s="2">
        <v>4</v>
      </c>
      <c r="D7" s="2"/>
      <c r="E7" s="2"/>
      <c r="F7" s="2"/>
      <c r="G7" s="2"/>
      <c r="I7" s="2" t="s">
        <v>170</v>
      </c>
      <c r="J7" s="2" t="s">
        <v>165</v>
      </c>
    </row>
    <row r="8" spans="1:10">
      <c r="A8" s="2" t="s">
        <v>171</v>
      </c>
      <c r="B8" s="2" t="s">
        <v>172</v>
      </c>
      <c r="C8" s="2">
        <v>5</v>
      </c>
      <c r="D8" s="2"/>
      <c r="E8" s="2"/>
      <c r="F8" s="2"/>
      <c r="G8" s="2"/>
      <c r="I8" s="2" t="s">
        <v>172</v>
      </c>
      <c r="J8" s="2" t="s">
        <v>162</v>
      </c>
    </row>
    <row r="9" spans="1:10">
      <c r="A9" s="2" t="s">
        <v>173</v>
      </c>
      <c r="B9" s="2" t="s">
        <v>174</v>
      </c>
      <c r="C9" s="2">
        <v>6</v>
      </c>
      <c r="D9" s="2"/>
      <c r="E9" s="2"/>
      <c r="F9" s="2"/>
      <c r="G9" s="2"/>
      <c r="I9" s="2" t="s">
        <v>174</v>
      </c>
      <c r="J9" s="2" t="s">
        <v>168</v>
      </c>
    </row>
    <row r="11" spans="1:10">
      <c r="A11" s="2" t="s">
        <v>154</v>
      </c>
      <c r="B11" s="2">
        <v>0</v>
      </c>
      <c r="C11" s="2">
        <v>5</v>
      </c>
      <c r="D11" s="2">
        <v>9</v>
      </c>
    </row>
    <row r="12" spans="1:10">
      <c r="A12" s="2" t="s">
        <v>175</v>
      </c>
      <c r="B12" s="2" t="s">
        <v>176</v>
      </c>
      <c r="C12" s="2" t="s">
        <v>177</v>
      </c>
      <c r="D12" s="2" t="s">
        <v>178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86148-CB2A-4986-923A-E322AF906E56}">
  <sheetPr codeName="Sheet26"/>
  <dimension ref="A1:B5"/>
  <sheetViews>
    <sheetView workbookViewId="0"/>
  </sheetViews>
  <sheetFormatPr defaultRowHeight="17"/>
  <sheetData>
    <row r="1" spans="1:2">
      <c r="A1" s="7" t="s">
        <v>179</v>
      </c>
      <c r="B1" s="7" t="s">
        <v>180</v>
      </c>
    </row>
    <row r="2" spans="1:2">
      <c r="A2" s="7">
        <v>1</v>
      </c>
      <c r="B2" s="18">
        <v>0</v>
      </c>
    </row>
    <row r="3" spans="1:2">
      <c r="A3" s="7">
        <v>30</v>
      </c>
      <c r="B3" s="18">
        <v>0.03</v>
      </c>
    </row>
    <row r="4" spans="1:2">
      <c r="A4" s="7">
        <v>50</v>
      </c>
      <c r="B4" s="18">
        <v>0.05</v>
      </c>
    </row>
    <row r="5" spans="1:2">
      <c r="A5" s="7">
        <v>100</v>
      </c>
      <c r="B5" s="18">
        <v>0.1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92CF-BC2C-46EC-B03E-79780AF078B2}">
  <sheetPr codeName="Sheet27"/>
  <dimension ref="A1:E18"/>
  <sheetViews>
    <sheetView workbookViewId="0"/>
  </sheetViews>
  <sheetFormatPr defaultRowHeight="17"/>
  <cols>
    <col min="5" max="5" width="10.58203125" bestFit="1" customWidth="1"/>
  </cols>
  <sheetData>
    <row r="1" spans="1:5">
      <c r="A1" t="s">
        <v>181</v>
      </c>
    </row>
    <row r="2" spans="1:5">
      <c r="A2" s="63" t="s">
        <v>182</v>
      </c>
      <c r="B2" s="63" t="s">
        <v>183</v>
      </c>
      <c r="C2" s="19">
        <v>0</v>
      </c>
      <c r="D2" s="19">
        <v>30</v>
      </c>
      <c r="E2" s="19">
        <v>50</v>
      </c>
    </row>
    <row r="3" spans="1:5">
      <c r="A3" s="64"/>
      <c r="B3" s="64"/>
      <c r="C3" s="19">
        <v>29</v>
      </c>
      <c r="D3" s="19">
        <v>49</v>
      </c>
      <c r="E3" s="19"/>
    </row>
    <row r="4" spans="1:5">
      <c r="A4" s="2">
        <v>1</v>
      </c>
      <c r="B4" s="2" t="s">
        <v>184</v>
      </c>
      <c r="C4" s="20">
        <v>16000</v>
      </c>
      <c r="D4" s="20">
        <f t="shared" ref="D4:E8" si="0">ROUND(C4*108%,-2)</f>
        <v>17300</v>
      </c>
      <c r="E4" s="20">
        <f t="shared" si="0"/>
        <v>18700</v>
      </c>
    </row>
    <row r="5" spans="1:5">
      <c r="A5" s="2">
        <v>2</v>
      </c>
      <c r="B5" s="2" t="s">
        <v>185</v>
      </c>
      <c r="C5" s="20">
        <v>48000</v>
      </c>
      <c r="D5" s="20">
        <f t="shared" si="0"/>
        <v>51800</v>
      </c>
      <c r="E5" s="20">
        <f t="shared" si="0"/>
        <v>55900</v>
      </c>
    </row>
    <row r="6" spans="1:5">
      <c r="A6" s="2">
        <v>3</v>
      </c>
      <c r="B6" s="2" t="s">
        <v>186</v>
      </c>
      <c r="C6" s="20">
        <v>45000</v>
      </c>
      <c r="D6" s="20">
        <f t="shared" si="0"/>
        <v>48600</v>
      </c>
      <c r="E6" s="20">
        <f t="shared" si="0"/>
        <v>52500</v>
      </c>
    </row>
    <row r="7" spans="1:5">
      <c r="A7" s="2">
        <v>4</v>
      </c>
      <c r="B7" s="2" t="s">
        <v>187</v>
      </c>
      <c r="C7" s="20">
        <v>12300</v>
      </c>
      <c r="D7" s="20">
        <f t="shared" si="0"/>
        <v>13300</v>
      </c>
      <c r="E7" s="20">
        <f t="shared" si="0"/>
        <v>14400</v>
      </c>
    </row>
    <row r="8" spans="1:5">
      <c r="A8" s="2">
        <v>5</v>
      </c>
      <c r="B8" s="2" t="s">
        <v>188</v>
      </c>
      <c r="C8" s="20">
        <v>8000</v>
      </c>
      <c r="D8" s="20">
        <f t="shared" si="0"/>
        <v>8600</v>
      </c>
      <c r="E8" s="20">
        <f t="shared" si="0"/>
        <v>9300</v>
      </c>
    </row>
    <row r="9" spans="1:5">
      <c r="A9" t="s">
        <v>189</v>
      </c>
    </row>
    <row r="10" spans="1:5">
      <c r="A10" s="17" t="s">
        <v>182</v>
      </c>
      <c r="B10" s="19" t="s">
        <v>183</v>
      </c>
      <c r="C10" s="17" t="s">
        <v>190</v>
      </c>
      <c r="D10" s="19" t="s">
        <v>191</v>
      </c>
      <c r="E10" s="17" t="s">
        <v>192</v>
      </c>
    </row>
    <row r="11" spans="1:5">
      <c r="A11" s="2">
        <v>3</v>
      </c>
      <c r="B11" s="2"/>
      <c r="C11" s="2">
        <v>18</v>
      </c>
      <c r="D11" s="20"/>
      <c r="E11" s="20">
        <v>810000</v>
      </c>
    </row>
    <row r="12" spans="1:5">
      <c r="A12" s="2">
        <v>4</v>
      </c>
      <c r="B12" s="2"/>
      <c r="C12" s="2">
        <v>30</v>
      </c>
      <c r="D12" s="20"/>
      <c r="E12" s="20">
        <v>369000</v>
      </c>
    </row>
    <row r="13" spans="1:5">
      <c r="A13" s="2">
        <v>5</v>
      </c>
      <c r="B13" s="2"/>
      <c r="C13" s="2">
        <v>60</v>
      </c>
      <c r="D13" s="20"/>
      <c r="E13" s="20">
        <v>480000</v>
      </c>
    </row>
    <row r="14" spans="1:5">
      <c r="A14" s="2">
        <v>2</v>
      </c>
      <c r="B14" s="2"/>
      <c r="C14" s="2">
        <v>21</v>
      </c>
      <c r="D14" s="20"/>
      <c r="E14" s="20">
        <v>1008000</v>
      </c>
    </row>
    <row r="15" spans="1:5">
      <c r="A15" s="2">
        <v>5</v>
      </c>
      <c r="B15" s="2"/>
      <c r="C15" s="2">
        <v>50</v>
      </c>
      <c r="D15" s="20"/>
      <c r="E15" s="20">
        <v>400000</v>
      </c>
    </row>
    <row r="16" spans="1:5">
      <c r="A16" s="2">
        <v>4</v>
      </c>
      <c r="B16" s="2"/>
      <c r="C16" s="2">
        <v>24</v>
      </c>
      <c r="D16" s="20"/>
      <c r="E16" s="20">
        <v>295200</v>
      </c>
    </row>
    <row r="17" spans="1:5">
      <c r="A17" s="2">
        <v>3</v>
      </c>
      <c r="B17" s="2"/>
      <c r="C17" s="2">
        <v>6</v>
      </c>
      <c r="D17" s="20"/>
      <c r="E17" s="20">
        <v>270000</v>
      </c>
    </row>
    <row r="18" spans="1:5">
      <c r="A18" s="2">
        <v>2</v>
      </c>
      <c r="B18" s="2"/>
      <c r="C18" s="2">
        <v>15</v>
      </c>
      <c r="D18" s="20"/>
      <c r="E18" s="20">
        <v>720000</v>
      </c>
    </row>
  </sheetData>
  <mergeCells count="2">
    <mergeCell ref="A2:A3"/>
    <mergeCell ref="B2:B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7DBE-AC4B-4E83-93D4-30D190CEB7B5}">
  <sheetPr codeName="Sheet29"/>
  <dimension ref="A1:F15"/>
  <sheetViews>
    <sheetView workbookViewId="0">
      <selection sqref="A1:D1"/>
    </sheetView>
  </sheetViews>
  <sheetFormatPr defaultRowHeight="17"/>
  <cols>
    <col min="1" max="2" width="13.33203125" customWidth="1"/>
    <col min="3" max="3" width="15.75" customWidth="1"/>
    <col min="4" max="4" width="13.33203125" customWidth="1"/>
    <col min="5" max="5" width="4.75" customWidth="1"/>
  </cols>
  <sheetData>
    <row r="1" spans="1:6" ht="17.5" thickBot="1">
      <c r="A1" s="59" t="s">
        <v>193</v>
      </c>
      <c r="B1" s="59"/>
      <c r="C1" s="59"/>
      <c r="D1" s="59"/>
      <c r="E1" s="21"/>
      <c r="F1" s="21"/>
    </row>
    <row r="2" spans="1:6" ht="17.5" thickBot="1">
      <c r="A2" s="22" t="s">
        <v>46</v>
      </c>
      <c r="B2" s="23" t="s">
        <v>194</v>
      </c>
      <c r="C2" s="23" t="s">
        <v>76</v>
      </c>
      <c r="D2" s="24" t="s">
        <v>195</v>
      </c>
      <c r="E2" s="21"/>
      <c r="F2" s="25" t="s">
        <v>194</v>
      </c>
    </row>
    <row r="3" spans="1:6" ht="17.5" thickBot="1">
      <c r="A3" s="26" t="s">
        <v>24</v>
      </c>
      <c r="B3" s="27">
        <v>246</v>
      </c>
      <c r="C3" s="27">
        <v>258</v>
      </c>
      <c r="D3" s="28">
        <v>152</v>
      </c>
      <c r="E3" s="21"/>
      <c r="F3" s="29" t="s">
        <v>196</v>
      </c>
    </row>
    <row r="4" spans="1:6">
      <c r="A4" s="26" t="s">
        <v>25</v>
      </c>
      <c r="B4" s="30">
        <v>144</v>
      </c>
      <c r="C4" s="30">
        <v>213</v>
      </c>
      <c r="D4" s="31">
        <v>57</v>
      </c>
      <c r="E4" s="21"/>
      <c r="F4" s="25" t="s">
        <v>76</v>
      </c>
    </row>
    <row r="5" spans="1:6" ht="17.5" thickBot="1">
      <c r="A5" s="26" t="s">
        <v>26</v>
      </c>
      <c r="B5" s="30">
        <v>92</v>
      </c>
      <c r="C5" s="30">
        <v>274</v>
      </c>
      <c r="D5" s="31">
        <v>269</v>
      </c>
      <c r="E5" s="21"/>
      <c r="F5" s="29" t="s">
        <v>197</v>
      </c>
    </row>
    <row r="6" spans="1:6">
      <c r="A6" s="26" t="s">
        <v>28</v>
      </c>
      <c r="B6" s="30">
        <v>112</v>
      </c>
      <c r="C6" s="30">
        <v>88</v>
      </c>
      <c r="D6" s="31">
        <v>105</v>
      </c>
      <c r="E6" s="21"/>
      <c r="F6" s="25" t="s">
        <v>195</v>
      </c>
    </row>
    <row r="7" spans="1:6" ht="17.5" thickBot="1">
      <c r="A7" s="32" t="s">
        <v>198</v>
      </c>
      <c r="B7" s="33">
        <v>244</v>
      </c>
      <c r="C7" s="33">
        <v>140</v>
      </c>
      <c r="D7" s="34">
        <v>297</v>
      </c>
      <c r="E7" s="21"/>
      <c r="F7" s="29" t="s">
        <v>199</v>
      </c>
    </row>
    <row r="8" spans="1:6">
      <c r="A8" s="67" t="s">
        <v>200</v>
      </c>
      <c r="B8" s="67"/>
      <c r="C8" s="67"/>
      <c r="D8" s="27"/>
      <c r="E8" s="21"/>
      <c r="F8" s="35" t="s">
        <v>46</v>
      </c>
    </row>
    <row r="9" spans="1:6" ht="17.5" thickBot="1">
      <c r="A9" s="65" t="s">
        <v>201</v>
      </c>
      <c r="B9" s="65"/>
      <c r="C9" s="65"/>
      <c r="D9" s="30"/>
      <c r="E9" s="21"/>
      <c r="F9" s="29" t="s">
        <v>25</v>
      </c>
    </row>
    <row r="10" spans="1:6">
      <c r="A10" s="65" t="s">
        <v>202</v>
      </c>
      <c r="B10" s="65"/>
      <c r="C10" s="65"/>
      <c r="D10" s="30"/>
      <c r="E10" s="21"/>
      <c r="F10" s="21"/>
    </row>
    <row r="11" spans="1:6">
      <c r="A11" s="65" t="s">
        <v>203</v>
      </c>
      <c r="B11" s="65"/>
      <c r="C11" s="65"/>
      <c r="D11" s="30"/>
      <c r="E11" s="21"/>
      <c r="F11" s="21"/>
    </row>
    <row r="12" spans="1:6">
      <c r="A12" s="65" t="s">
        <v>204</v>
      </c>
      <c r="B12" s="65"/>
      <c r="C12" s="65"/>
      <c r="D12" s="30"/>
      <c r="E12" s="21"/>
      <c r="F12" s="21"/>
    </row>
    <row r="13" spans="1:6">
      <c r="A13" s="65" t="s">
        <v>205</v>
      </c>
      <c r="B13" s="65"/>
      <c r="C13" s="65"/>
      <c r="D13" s="30"/>
      <c r="E13" s="21"/>
      <c r="F13" s="21"/>
    </row>
    <row r="14" spans="1:6">
      <c r="A14" s="65" t="s">
        <v>206</v>
      </c>
      <c r="B14" s="65"/>
      <c r="C14" s="65"/>
      <c r="D14" s="30"/>
      <c r="E14" s="21"/>
      <c r="F14" s="21"/>
    </row>
    <row r="15" spans="1:6">
      <c r="A15" s="66" t="s">
        <v>207</v>
      </c>
      <c r="B15" s="65"/>
      <c r="C15" s="65"/>
      <c r="D15" s="30"/>
      <c r="E15" s="21"/>
      <c r="F15" s="21"/>
    </row>
  </sheetData>
  <mergeCells count="9">
    <mergeCell ref="A13:C13"/>
    <mergeCell ref="A14:C14"/>
    <mergeCell ref="A15:C15"/>
    <mergeCell ref="A1:D1"/>
    <mergeCell ref="A8:C8"/>
    <mergeCell ref="A9:C9"/>
    <mergeCell ref="A10:C10"/>
    <mergeCell ref="A11:C11"/>
    <mergeCell ref="A12:C12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8E296-CD99-4C70-B23F-BF1AC0794E78}">
  <sheetPr codeName="Sheet31"/>
  <dimension ref="A1:F6"/>
  <sheetViews>
    <sheetView workbookViewId="0"/>
  </sheetViews>
  <sheetFormatPr defaultRowHeight="17"/>
  <sheetData>
    <row r="1" spans="1:6">
      <c r="A1" s="2" t="s">
        <v>208</v>
      </c>
      <c r="B1" s="2" t="s">
        <v>46</v>
      </c>
      <c r="C1" s="2" t="s">
        <v>209</v>
      </c>
      <c r="D1" s="2" t="s">
        <v>19</v>
      </c>
      <c r="E1" s="2" t="s">
        <v>21</v>
      </c>
      <c r="F1" s="3" t="s">
        <v>210</v>
      </c>
    </row>
    <row r="2" spans="1:6">
      <c r="A2" s="2">
        <v>1</v>
      </c>
      <c r="B2" s="2" t="s">
        <v>211</v>
      </c>
      <c r="C2" s="2" t="s">
        <v>212</v>
      </c>
      <c r="D2" s="2">
        <v>98</v>
      </c>
      <c r="E2" s="2">
        <v>85</v>
      </c>
      <c r="F2" s="2"/>
    </row>
    <row r="3" spans="1:6">
      <c r="A3" s="2">
        <v>2</v>
      </c>
      <c r="B3" s="2" t="s">
        <v>213</v>
      </c>
      <c r="C3" s="2" t="s">
        <v>214</v>
      </c>
      <c r="D3" s="2">
        <v>95</v>
      </c>
      <c r="E3" s="2">
        <v>100</v>
      </c>
      <c r="F3" s="2"/>
    </row>
    <row r="4" spans="1:6">
      <c r="A4" s="2">
        <v>3</v>
      </c>
      <c r="B4" s="2" t="s">
        <v>215</v>
      </c>
      <c r="C4" s="2" t="s">
        <v>214</v>
      </c>
      <c r="D4" s="2">
        <v>80</v>
      </c>
      <c r="E4" s="2">
        <v>75</v>
      </c>
      <c r="F4" s="2"/>
    </row>
    <row r="5" spans="1:6">
      <c r="A5" s="2">
        <v>4</v>
      </c>
      <c r="B5" s="2" t="s">
        <v>216</v>
      </c>
      <c r="C5" s="2" t="s">
        <v>212</v>
      </c>
      <c r="D5" s="2">
        <v>85</v>
      </c>
      <c r="E5" s="2">
        <v>90</v>
      </c>
      <c r="F5" s="2"/>
    </row>
    <row r="6" spans="1:6">
      <c r="A6" s="2">
        <v>5</v>
      </c>
      <c r="B6" s="2" t="s">
        <v>217</v>
      </c>
      <c r="C6" s="2" t="s">
        <v>212</v>
      </c>
      <c r="D6" s="2">
        <v>100</v>
      </c>
      <c r="E6" s="2">
        <v>100</v>
      </c>
      <c r="F6" s="2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A7923-4D1A-40FC-832D-B9E8154EFFF6}">
  <sheetPr codeName="Sheet32"/>
  <dimension ref="A1:J9"/>
  <sheetViews>
    <sheetView workbookViewId="0"/>
  </sheetViews>
  <sheetFormatPr defaultRowHeight="17"/>
  <cols>
    <col min="5" max="5" width="10.83203125" bestFit="1" customWidth="1"/>
    <col min="6" max="6" width="4.58203125" customWidth="1"/>
    <col min="9" max="10" width="13" bestFit="1" customWidth="1"/>
  </cols>
  <sheetData>
    <row r="1" spans="1:10">
      <c r="A1" s="36" t="s">
        <v>218</v>
      </c>
      <c r="B1" s="36" t="s">
        <v>219</v>
      </c>
      <c r="C1" s="36" t="s">
        <v>0</v>
      </c>
      <c r="D1" s="36" t="s">
        <v>220</v>
      </c>
      <c r="E1" s="36" t="s">
        <v>221</v>
      </c>
    </row>
    <row r="2" spans="1:10">
      <c r="A2" s="36">
        <v>3115</v>
      </c>
      <c r="B2" s="36" t="s">
        <v>222</v>
      </c>
      <c r="C2" s="36" t="s">
        <v>223</v>
      </c>
      <c r="D2" s="36" t="s">
        <v>224</v>
      </c>
      <c r="E2" s="37">
        <v>75533</v>
      </c>
      <c r="G2" s="36" t="s">
        <v>219</v>
      </c>
      <c r="H2" s="38" t="s">
        <v>50</v>
      </c>
      <c r="I2" s="38" t="s">
        <v>225</v>
      </c>
      <c r="J2" s="38" t="s">
        <v>226</v>
      </c>
    </row>
    <row r="3" spans="1:10">
      <c r="A3" s="36">
        <v>3320</v>
      </c>
      <c r="B3" s="36" t="s">
        <v>227</v>
      </c>
      <c r="C3" s="36" t="s">
        <v>228</v>
      </c>
      <c r="D3" s="36" t="s">
        <v>229</v>
      </c>
      <c r="E3" s="37">
        <v>82560</v>
      </c>
      <c r="G3" s="36" t="s">
        <v>222</v>
      </c>
      <c r="H3" s="11"/>
      <c r="I3" s="39"/>
      <c r="J3" s="39"/>
    </row>
    <row r="4" spans="1:10">
      <c r="A4" s="36">
        <v>3425</v>
      </c>
      <c r="B4" s="36" t="s">
        <v>230</v>
      </c>
      <c r="C4" s="36" t="s">
        <v>231</v>
      </c>
      <c r="D4" s="36" t="s">
        <v>224</v>
      </c>
      <c r="E4" s="37">
        <v>54000</v>
      </c>
      <c r="G4" s="36" t="s">
        <v>232</v>
      </c>
      <c r="H4" s="11"/>
      <c r="I4" s="39"/>
      <c r="J4" s="39"/>
    </row>
    <row r="5" spans="1:10">
      <c r="A5" s="36">
        <v>3217</v>
      </c>
      <c r="B5" s="36" t="s">
        <v>232</v>
      </c>
      <c r="C5" s="36" t="s">
        <v>233</v>
      </c>
      <c r="D5" s="36" t="s">
        <v>234</v>
      </c>
      <c r="E5" s="37">
        <v>102500</v>
      </c>
      <c r="G5" s="36" t="s">
        <v>227</v>
      </c>
      <c r="H5" s="11"/>
      <c r="I5" s="39"/>
      <c r="J5" s="39"/>
    </row>
    <row r="6" spans="1:10">
      <c r="A6" s="36">
        <v>3321</v>
      </c>
      <c r="B6" s="36" t="s">
        <v>227</v>
      </c>
      <c r="C6" s="36" t="s">
        <v>235</v>
      </c>
      <c r="D6" s="36" t="s">
        <v>236</v>
      </c>
      <c r="E6" s="37">
        <v>84250</v>
      </c>
    </row>
    <row r="7" spans="1:10">
      <c r="A7" s="36">
        <v>3424</v>
      </c>
      <c r="B7" s="36" t="s">
        <v>232</v>
      </c>
      <c r="C7" s="36" t="s">
        <v>237</v>
      </c>
      <c r="D7" s="36" t="s">
        <v>224</v>
      </c>
      <c r="E7" s="37">
        <v>85110</v>
      </c>
    </row>
    <row r="8" spans="1:10">
      <c r="A8" s="36">
        <v>3112</v>
      </c>
      <c r="B8" s="36" t="s">
        <v>222</v>
      </c>
      <c r="C8" s="36" t="s">
        <v>238</v>
      </c>
      <c r="D8" s="36" t="s">
        <v>239</v>
      </c>
      <c r="E8" s="37">
        <v>95620</v>
      </c>
    </row>
    <row r="9" spans="1:10">
      <c r="A9" s="36">
        <v>3323</v>
      </c>
      <c r="B9" s="36" t="s">
        <v>230</v>
      </c>
      <c r="C9" s="36" t="s">
        <v>240</v>
      </c>
      <c r="D9" s="36" t="s">
        <v>224</v>
      </c>
      <c r="E9" s="37">
        <v>93200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F08C-CD74-47B2-9F78-83E8E4682A0E}">
  <sheetPr codeName="Sheet35"/>
  <dimension ref="A1:E7"/>
  <sheetViews>
    <sheetView workbookViewId="0">
      <selection sqref="A1:D1"/>
    </sheetView>
  </sheetViews>
  <sheetFormatPr defaultRowHeight="17"/>
  <cols>
    <col min="1" max="1" width="9.25" customWidth="1"/>
    <col min="2" max="2" width="9.33203125" customWidth="1"/>
    <col min="3" max="3" width="9.75" customWidth="1"/>
    <col min="4" max="4" width="9.58203125" customWidth="1"/>
    <col min="5" max="5" width="10.33203125" customWidth="1"/>
  </cols>
  <sheetData>
    <row r="1" spans="1:5">
      <c r="A1" s="61" t="s">
        <v>241</v>
      </c>
      <c r="B1" s="61"/>
      <c r="C1" s="61"/>
      <c r="D1" s="61"/>
      <c r="E1" s="40" t="s">
        <v>242</v>
      </c>
    </row>
    <row r="2" spans="1:5">
      <c r="A2" s="2" t="s">
        <v>18</v>
      </c>
      <c r="B2" s="2" t="s">
        <v>243</v>
      </c>
      <c r="C2" s="2" t="s">
        <v>244</v>
      </c>
      <c r="D2" s="2" t="s">
        <v>245</v>
      </c>
      <c r="E2" s="2" t="s">
        <v>246</v>
      </c>
    </row>
    <row r="3" spans="1:5">
      <c r="A3" s="2" t="s">
        <v>24</v>
      </c>
      <c r="B3" s="41">
        <v>4800</v>
      </c>
      <c r="C3" s="41">
        <v>18340</v>
      </c>
      <c r="D3" s="41">
        <v>140</v>
      </c>
      <c r="E3" s="41">
        <v>11200</v>
      </c>
    </row>
    <row r="4" spans="1:5">
      <c r="A4" s="2" t="s">
        <v>52</v>
      </c>
      <c r="B4" s="41">
        <v>3000</v>
      </c>
      <c r="C4" s="41">
        <v>19040</v>
      </c>
      <c r="D4" s="41">
        <v>40</v>
      </c>
      <c r="E4" s="41">
        <v>8000</v>
      </c>
    </row>
    <row r="5" spans="1:5">
      <c r="A5" s="2" t="s">
        <v>247</v>
      </c>
      <c r="B5" s="41">
        <v>2800</v>
      </c>
      <c r="C5" s="41">
        <v>25140</v>
      </c>
      <c r="D5" s="41">
        <v>140</v>
      </c>
      <c r="E5" s="41">
        <v>11200</v>
      </c>
    </row>
    <row r="6" spans="1:5">
      <c r="A6" s="2" t="s">
        <v>248</v>
      </c>
      <c r="B6" s="41">
        <v>3200</v>
      </c>
      <c r="C6" s="41">
        <v>23040</v>
      </c>
      <c r="D6" s="41">
        <v>125</v>
      </c>
      <c r="E6" s="41">
        <v>8000</v>
      </c>
    </row>
    <row r="7" spans="1:5">
      <c r="A7" s="2" t="s">
        <v>249</v>
      </c>
      <c r="B7" s="41">
        <v>2800</v>
      </c>
      <c r="C7" s="41">
        <v>13436</v>
      </c>
      <c r="D7" s="41">
        <v>36</v>
      </c>
      <c r="E7" s="41">
        <v>7200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E746A-DF4C-4517-9971-2B1E0F5520FE}">
  <sheetPr codeName="Sheet37"/>
  <dimension ref="A1:E7"/>
  <sheetViews>
    <sheetView workbookViewId="0">
      <selection sqref="A1:D1"/>
    </sheetView>
  </sheetViews>
  <sheetFormatPr defaultRowHeight="17"/>
  <cols>
    <col min="1" max="1" width="9.25" customWidth="1"/>
    <col min="2" max="2" width="9.33203125" customWidth="1"/>
    <col min="3" max="3" width="9.75" customWidth="1"/>
    <col min="4" max="4" width="9.58203125" customWidth="1"/>
    <col min="5" max="5" width="10.33203125" customWidth="1"/>
  </cols>
  <sheetData>
    <row r="1" spans="1:5">
      <c r="A1" s="61" t="s">
        <v>241</v>
      </c>
      <c r="B1" s="61"/>
      <c r="C1" s="61"/>
      <c r="D1" s="61"/>
      <c r="E1" s="40" t="s">
        <v>242</v>
      </c>
    </row>
    <row r="2" spans="1:5">
      <c r="A2" s="2" t="s">
        <v>18</v>
      </c>
      <c r="B2" s="2" t="s">
        <v>243</v>
      </c>
      <c r="C2" s="2" t="s">
        <v>244</v>
      </c>
      <c r="D2" s="2" t="s">
        <v>245</v>
      </c>
      <c r="E2" s="2" t="s">
        <v>246</v>
      </c>
    </row>
    <row r="3" spans="1:5">
      <c r="A3" s="2" t="s">
        <v>24</v>
      </c>
      <c r="B3" s="41">
        <v>4800</v>
      </c>
      <c r="C3" s="41">
        <v>18340</v>
      </c>
      <c r="D3" s="41">
        <v>140</v>
      </c>
      <c r="E3" s="41">
        <v>11200</v>
      </c>
    </row>
    <row r="4" spans="1:5">
      <c r="A4" s="2" t="s">
        <v>52</v>
      </c>
      <c r="B4" s="41">
        <v>3000</v>
      </c>
      <c r="C4" s="41">
        <v>19040</v>
      </c>
      <c r="D4" s="41">
        <v>40</v>
      </c>
      <c r="E4" s="41">
        <v>8000</v>
      </c>
    </row>
    <row r="5" spans="1:5">
      <c r="A5" s="2" t="s">
        <v>247</v>
      </c>
      <c r="B5" s="41">
        <v>2800</v>
      </c>
      <c r="C5" s="41">
        <v>25140</v>
      </c>
      <c r="D5" s="41">
        <v>140</v>
      </c>
      <c r="E5" s="41">
        <v>11200</v>
      </c>
    </row>
    <row r="6" spans="1:5">
      <c r="A6" s="2" t="s">
        <v>248</v>
      </c>
      <c r="B6" s="41">
        <v>3200</v>
      </c>
      <c r="C6" s="41">
        <v>23040</v>
      </c>
      <c r="D6" s="41">
        <v>125</v>
      </c>
      <c r="E6" s="41">
        <v>8000</v>
      </c>
    </row>
    <row r="7" spans="1:5">
      <c r="A7" s="2" t="s">
        <v>249</v>
      </c>
      <c r="B7" s="41">
        <v>2800</v>
      </c>
      <c r="C7" s="41">
        <v>13436</v>
      </c>
      <c r="D7" s="41">
        <v>36</v>
      </c>
      <c r="E7" s="41">
        <v>7200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AF298-B050-4F2B-8E8E-D4ACB9C43E68}">
  <sheetPr codeName="Sheet39"/>
  <dimension ref="A1:D7"/>
  <sheetViews>
    <sheetView workbookViewId="0">
      <selection sqref="A1:D1"/>
    </sheetView>
  </sheetViews>
  <sheetFormatPr defaultRowHeight="17"/>
  <sheetData>
    <row r="1" spans="1:4">
      <c r="A1" s="61" t="s">
        <v>250</v>
      </c>
      <c r="B1" s="61"/>
      <c r="C1" s="61"/>
      <c r="D1" s="61"/>
    </row>
    <row r="2" spans="1:4">
      <c r="A2" s="2" t="s">
        <v>251</v>
      </c>
      <c r="B2" s="2" t="s">
        <v>252</v>
      </c>
      <c r="C2" s="2" t="s">
        <v>253</v>
      </c>
      <c r="D2" s="2" t="s">
        <v>254</v>
      </c>
    </row>
    <row r="3" spans="1:4">
      <c r="A3" s="2" t="s">
        <v>255</v>
      </c>
      <c r="B3" s="2">
        <v>85</v>
      </c>
      <c r="C3" s="2">
        <v>95</v>
      </c>
      <c r="D3" s="2">
        <v>21</v>
      </c>
    </row>
    <row r="4" spans="1:4">
      <c r="A4" s="2" t="s">
        <v>256</v>
      </c>
      <c r="B4" s="2">
        <v>90</v>
      </c>
      <c r="C4" s="2">
        <v>82</v>
      </c>
      <c r="D4" s="2">
        <v>19</v>
      </c>
    </row>
    <row r="5" spans="1:4">
      <c r="A5" s="2" t="s">
        <v>257</v>
      </c>
      <c r="B5" s="2">
        <v>88</v>
      </c>
      <c r="C5" s="2">
        <v>88</v>
      </c>
      <c r="D5" s="2">
        <v>23</v>
      </c>
    </row>
    <row r="6" spans="1:4">
      <c r="A6" s="2" t="s">
        <v>258</v>
      </c>
      <c r="B6" s="2">
        <v>97</v>
      </c>
      <c r="C6" s="2">
        <v>94</v>
      </c>
      <c r="D6" s="2">
        <v>21</v>
      </c>
    </row>
    <row r="7" spans="1:4">
      <c r="A7" s="2" t="s">
        <v>259</v>
      </c>
      <c r="B7" s="2">
        <v>86</v>
      </c>
      <c r="C7" s="2">
        <v>86</v>
      </c>
      <c r="D7" s="2">
        <v>18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0CA57-881F-44B1-B03D-13058B86B092}">
  <sheetPr codeName="Sheet41"/>
  <dimension ref="B2:H6"/>
  <sheetViews>
    <sheetView zoomScaleNormal="100" workbookViewId="0"/>
  </sheetViews>
  <sheetFormatPr defaultRowHeight="17"/>
  <cols>
    <col min="1" max="1" width="3" customWidth="1"/>
    <col min="4" max="6" width="10.58203125" bestFit="1" customWidth="1"/>
    <col min="7" max="7" width="9.08203125" bestFit="1" customWidth="1"/>
    <col min="8" max="8" width="10.58203125" bestFit="1" customWidth="1"/>
  </cols>
  <sheetData>
    <row r="2" spans="2:8">
      <c r="B2" s="2" t="s">
        <v>92</v>
      </c>
      <c r="C2" s="2" t="s">
        <v>260</v>
      </c>
      <c r="D2" s="2" t="s">
        <v>261</v>
      </c>
      <c r="E2" s="2" t="s">
        <v>262</v>
      </c>
      <c r="F2" s="2" t="s">
        <v>263</v>
      </c>
      <c r="G2" s="2" t="s">
        <v>264</v>
      </c>
      <c r="H2" s="2" t="s">
        <v>265</v>
      </c>
    </row>
    <row r="3" spans="2:8">
      <c r="B3" s="2" t="s">
        <v>266</v>
      </c>
      <c r="C3" s="2" t="s">
        <v>267</v>
      </c>
      <c r="D3" s="20">
        <v>3400000</v>
      </c>
      <c r="E3" s="20">
        <v>2720000</v>
      </c>
      <c r="F3" s="20">
        <v>6120000</v>
      </c>
      <c r="G3" s="20">
        <v>734400</v>
      </c>
      <c r="H3" s="20">
        <v>5386000</v>
      </c>
    </row>
    <row r="4" spans="2:8">
      <c r="B4" s="2" t="s">
        <v>268</v>
      </c>
      <c r="C4" s="2" t="s">
        <v>239</v>
      </c>
      <c r="D4" s="20">
        <v>2000000</v>
      </c>
      <c r="E4" s="20">
        <v>1600000</v>
      </c>
      <c r="F4" s="20">
        <v>3600000</v>
      </c>
      <c r="G4" s="20">
        <v>432000</v>
      </c>
      <c r="H4" s="20">
        <v>3168000</v>
      </c>
    </row>
    <row r="5" spans="2:8">
      <c r="B5" s="2" t="s">
        <v>269</v>
      </c>
      <c r="C5" s="2" t="s">
        <v>267</v>
      </c>
      <c r="D5" s="20">
        <v>3290000</v>
      </c>
      <c r="E5" s="20">
        <v>2632000</v>
      </c>
      <c r="F5" s="20">
        <v>5922000</v>
      </c>
      <c r="G5" s="20">
        <v>710640</v>
      </c>
      <c r="H5" s="20">
        <v>5211000</v>
      </c>
    </row>
    <row r="6" spans="2:8">
      <c r="B6" s="2" t="s">
        <v>270</v>
      </c>
      <c r="C6" s="2" t="s">
        <v>271</v>
      </c>
      <c r="D6" s="20">
        <v>2640000</v>
      </c>
      <c r="E6" s="20">
        <v>2112000</v>
      </c>
      <c r="F6" s="20">
        <v>4752000</v>
      </c>
      <c r="G6" s="20">
        <v>570240</v>
      </c>
      <c r="H6" s="20">
        <v>4182000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6AF89-D821-44F3-A12D-865676E3055C}">
  <sheetPr codeName="Sheet43"/>
  <dimension ref="B2:H6"/>
  <sheetViews>
    <sheetView zoomScaleNormal="100" workbookViewId="0"/>
  </sheetViews>
  <sheetFormatPr defaultRowHeight="17"/>
  <cols>
    <col min="1" max="1" width="3" customWidth="1"/>
    <col min="4" max="6" width="10.58203125" bestFit="1" customWidth="1"/>
    <col min="7" max="7" width="9.08203125" bestFit="1" customWidth="1"/>
    <col min="8" max="8" width="10.58203125" bestFit="1" customWidth="1"/>
  </cols>
  <sheetData>
    <row r="2" spans="2:8">
      <c r="B2" s="2" t="s">
        <v>92</v>
      </c>
      <c r="C2" s="2" t="s">
        <v>260</v>
      </c>
      <c r="D2" s="2" t="s">
        <v>261</v>
      </c>
      <c r="E2" s="2" t="s">
        <v>262</v>
      </c>
      <c r="F2" s="2" t="s">
        <v>263</v>
      </c>
      <c r="G2" s="2" t="s">
        <v>264</v>
      </c>
      <c r="H2" s="2" t="s">
        <v>265</v>
      </c>
    </row>
    <row r="3" spans="2:8">
      <c r="B3" s="2" t="s">
        <v>266</v>
      </c>
      <c r="C3" s="2" t="s">
        <v>267</v>
      </c>
      <c r="D3" s="20">
        <v>3400000</v>
      </c>
      <c r="E3" s="20">
        <v>2720000</v>
      </c>
      <c r="F3" s="20">
        <v>6120000</v>
      </c>
      <c r="G3" s="20">
        <v>734400</v>
      </c>
      <c r="H3" s="20">
        <v>5386000</v>
      </c>
    </row>
    <row r="4" spans="2:8">
      <c r="B4" s="2" t="s">
        <v>268</v>
      </c>
      <c r="C4" s="2" t="s">
        <v>239</v>
      </c>
      <c r="D4" s="20">
        <v>2000000</v>
      </c>
      <c r="E4" s="20">
        <v>1600000</v>
      </c>
      <c r="F4" s="20">
        <v>3600000</v>
      </c>
      <c r="G4" s="20">
        <v>432000</v>
      </c>
      <c r="H4" s="20">
        <v>3168000</v>
      </c>
    </row>
    <row r="5" spans="2:8">
      <c r="B5" s="2" t="s">
        <v>269</v>
      </c>
      <c r="C5" s="2" t="s">
        <v>267</v>
      </c>
      <c r="D5" s="20">
        <v>3290000</v>
      </c>
      <c r="E5" s="20">
        <v>2632000</v>
      </c>
      <c r="F5" s="20">
        <v>5922000</v>
      </c>
      <c r="G5" s="20">
        <v>710640</v>
      </c>
      <c r="H5" s="20">
        <v>5211000</v>
      </c>
    </row>
    <row r="6" spans="2:8">
      <c r="B6" s="2" t="s">
        <v>270</v>
      </c>
      <c r="C6" s="2" t="s">
        <v>271</v>
      </c>
      <c r="D6" s="20">
        <v>2640000</v>
      </c>
      <c r="E6" s="20">
        <v>2112000</v>
      </c>
      <c r="F6" s="20">
        <v>4752000</v>
      </c>
      <c r="G6" s="20">
        <v>570240</v>
      </c>
      <c r="H6" s="20">
        <v>4182000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8AB27-BD04-4FDA-8C51-584344F6CF9C}">
  <sheetPr codeName="Sheet45"/>
  <dimension ref="A1:G10"/>
  <sheetViews>
    <sheetView workbookViewId="0"/>
  </sheetViews>
  <sheetFormatPr defaultRowHeight="17"/>
  <cols>
    <col min="2" max="2" width="9.75" customWidth="1"/>
    <col min="3" max="7" width="10" customWidth="1"/>
  </cols>
  <sheetData>
    <row r="1" spans="1:7" ht="17.5" thickBot="1">
      <c r="A1" t="s">
        <v>81</v>
      </c>
    </row>
    <row r="2" spans="1:7" ht="18" thickTop="1" thickBot="1">
      <c r="A2" s="42" t="s">
        <v>272</v>
      </c>
      <c r="B2" s="42" t="s">
        <v>273</v>
      </c>
      <c r="C2" s="42" t="s">
        <v>274</v>
      </c>
      <c r="D2" s="42" t="s">
        <v>275</v>
      </c>
      <c r="E2" s="42" t="s">
        <v>83</v>
      </c>
      <c r="F2" s="42" t="s">
        <v>84</v>
      </c>
      <c r="G2" s="42" t="s">
        <v>276</v>
      </c>
    </row>
    <row r="3" spans="1:7" ht="17.5" thickTop="1">
      <c r="A3" s="43" t="s">
        <v>277</v>
      </c>
      <c r="B3" s="43" t="s">
        <v>278</v>
      </c>
      <c r="C3" s="44">
        <v>1</v>
      </c>
      <c r="D3" s="44">
        <v>98</v>
      </c>
      <c r="E3" s="44">
        <v>90</v>
      </c>
      <c r="F3" s="44">
        <v>88</v>
      </c>
      <c r="G3" s="44">
        <f>AVERAGE(D3:F3)</f>
        <v>92</v>
      </c>
    </row>
    <row r="4" spans="1:7">
      <c r="A4" s="40" t="s">
        <v>279</v>
      </c>
      <c r="B4" s="40" t="s">
        <v>280</v>
      </c>
      <c r="C4" s="45">
        <v>3</v>
      </c>
      <c r="D4" s="45">
        <v>94</v>
      </c>
      <c r="E4" s="45">
        <v>100</v>
      </c>
      <c r="F4" s="45">
        <v>90</v>
      </c>
      <c r="G4" s="45">
        <v>94</v>
      </c>
    </row>
    <row r="5" spans="1:7">
      <c r="A5" s="40" t="s">
        <v>281</v>
      </c>
      <c r="B5" s="40" t="s">
        <v>282</v>
      </c>
      <c r="C5" s="45">
        <v>2</v>
      </c>
      <c r="D5" s="45">
        <v>96</v>
      </c>
      <c r="E5" s="45">
        <v>87</v>
      </c>
      <c r="F5" s="45">
        <v>95</v>
      </c>
      <c r="G5" s="45">
        <v>92</v>
      </c>
    </row>
    <row r="6" spans="1:7">
      <c r="A6" s="40" t="s">
        <v>283</v>
      </c>
      <c r="B6" s="40" t="s">
        <v>280</v>
      </c>
      <c r="C6" s="45">
        <v>8</v>
      </c>
      <c r="D6" s="45">
        <v>84</v>
      </c>
      <c r="E6" s="45">
        <v>78</v>
      </c>
      <c r="F6" s="45">
        <v>80</v>
      </c>
      <c r="G6" s="45">
        <v>80</v>
      </c>
    </row>
    <row r="7" spans="1:7">
      <c r="A7" s="40" t="s">
        <v>284</v>
      </c>
      <c r="B7" s="40" t="s">
        <v>278</v>
      </c>
      <c r="C7" s="45">
        <v>5</v>
      </c>
      <c r="D7" s="45">
        <v>90</v>
      </c>
      <c r="E7" s="45">
        <v>46</v>
      </c>
      <c r="F7" s="45">
        <v>75</v>
      </c>
      <c r="G7" s="45">
        <v>70</v>
      </c>
    </row>
    <row r="8" spans="1:7">
      <c r="A8" s="40" t="s">
        <v>285</v>
      </c>
      <c r="B8" s="40" t="s">
        <v>282</v>
      </c>
      <c r="C8" s="45">
        <v>6</v>
      </c>
      <c r="D8" s="45">
        <v>88</v>
      </c>
      <c r="E8" s="45">
        <v>66</v>
      </c>
      <c r="F8" s="45">
        <v>90</v>
      </c>
      <c r="G8" s="45">
        <v>81</v>
      </c>
    </row>
    <row r="9" spans="1:7">
      <c r="A9" s="40" t="s">
        <v>286</v>
      </c>
      <c r="B9" s="40" t="s">
        <v>278</v>
      </c>
      <c r="C9" s="45">
        <v>4</v>
      </c>
      <c r="D9" s="45">
        <v>92</v>
      </c>
      <c r="E9" s="45">
        <v>89</v>
      </c>
      <c r="F9" s="45">
        <v>88</v>
      </c>
      <c r="G9" s="45">
        <v>89</v>
      </c>
    </row>
    <row r="10" spans="1:7" ht="17.5" thickBot="1">
      <c r="A10" s="46" t="s">
        <v>287</v>
      </c>
      <c r="B10" s="46" t="s">
        <v>282</v>
      </c>
      <c r="C10" s="47">
        <v>2</v>
      </c>
      <c r="D10" s="47">
        <v>96</v>
      </c>
      <c r="E10" s="47">
        <v>90</v>
      </c>
      <c r="F10" s="47">
        <v>95</v>
      </c>
      <c r="G10" s="47">
        <v>93</v>
      </c>
    </row>
  </sheetData>
  <phoneticPr fontId="2" type="noConversion"/>
  <pageMargins left="0.7" right="0.7" top="0.75" bottom="0.75" header="0.3" footer="0.3"/>
  <ignoredErrors>
    <ignoredError sqref="G3" formulaRange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3A60A-181E-4E44-B40F-B2ABA3805E33}">
  <sheetPr codeName="Sheet47"/>
  <dimension ref="A1:G12"/>
  <sheetViews>
    <sheetView workbookViewId="0">
      <selection sqref="A1:G1"/>
    </sheetView>
  </sheetViews>
  <sheetFormatPr defaultRowHeight="17"/>
  <cols>
    <col min="1" max="1" width="7.08203125" customWidth="1"/>
    <col min="2" max="3" width="6.58203125" customWidth="1"/>
    <col min="4" max="4" width="8.58203125" customWidth="1"/>
    <col min="5" max="7" width="7.08203125" customWidth="1"/>
  </cols>
  <sheetData>
    <row r="1" spans="1:7">
      <c r="A1" s="61" t="s">
        <v>288</v>
      </c>
      <c r="B1" s="61"/>
      <c r="C1" s="61"/>
      <c r="D1" s="61"/>
      <c r="E1" s="61"/>
      <c r="F1" s="61"/>
      <c r="G1" s="61"/>
    </row>
    <row r="3" spans="1:7">
      <c r="A3" s="2" t="s">
        <v>92</v>
      </c>
      <c r="B3" s="2" t="s">
        <v>108</v>
      </c>
      <c r="C3" s="2" t="s">
        <v>260</v>
      </c>
      <c r="D3" s="2" t="s">
        <v>289</v>
      </c>
      <c r="E3" s="2" t="s">
        <v>290</v>
      </c>
      <c r="F3" s="2" t="s">
        <v>291</v>
      </c>
      <c r="G3" s="2" t="s">
        <v>292</v>
      </c>
    </row>
    <row r="4" spans="1:7">
      <c r="A4" s="2" t="s">
        <v>293</v>
      </c>
      <c r="B4" s="2" t="s">
        <v>294</v>
      </c>
      <c r="C4" s="2" t="s">
        <v>267</v>
      </c>
      <c r="D4" s="2">
        <v>20</v>
      </c>
      <c r="E4" s="20">
        <v>4600</v>
      </c>
      <c r="F4" s="20">
        <v>200</v>
      </c>
      <c r="G4" s="20">
        <v>4800</v>
      </c>
    </row>
    <row r="5" spans="1:7">
      <c r="A5" s="2" t="s">
        <v>295</v>
      </c>
      <c r="B5" s="2" t="s">
        <v>294</v>
      </c>
      <c r="C5" s="2" t="s">
        <v>236</v>
      </c>
      <c r="D5" s="2">
        <v>2</v>
      </c>
      <c r="E5" s="20">
        <v>400</v>
      </c>
      <c r="F5" s="20">
        <v>20</v>
      </c>
      <c r="G5" s="20">
        <v>420</v>
      </c>
    </row>
    <row r="6" spans="1:7">
      <c r="A6" s="2" t="s">
        <v>296</v>
      </c>
      <c r="B6" s="2" t="s">
        <v>297</v>
      </c>
      <c r="C6" s="2" t="s">
        <v>271</v>
      </c>
      <c r="D6" s="2">
        <v>17</v>
      </c>
      <c r="E6" s="20">
        <v>3400</v>
      </c>
      <c r="F6" s="20">
        <v>170</v>
      </c>
      <c r="G6" s="20">
        <v>3570</v>
      </c>
    </row>
    <row r="7" spans="1:7">
      <c r="A7" s="2" t="s">
        <v>298</v>
      </c>
      <c r="B7" s="2" t="s">
        <v>297</v>
      </c>
      <c r="C7" s="2" t="s">
        <v>236</v>
      </c>
      <c r="D7" s="2">
        <v>2</v>
      </c>
      <c r="E7" s="20">
        <v>400</v>
      </c>
      <c r="F7" s="20">
        <v>20</v>
      </c>
      <c r="G7" s="20">
        <v>420</v>
      </c>
    </row>
    <row r="8" spans="1:7">
      <c r="A8" s="2" t="s">
        <v>299</v>
      </c>
      <c r="B8" s="2" t="s">
        <v>300</v>
      </c>
      <c r="C8" s="2" t="s">
        <v>236</v>
      </c>
      <c r="D8" s="2">
        <v>4</v>
      </c>
      <c r="E8" s="20">
        <v>800</v>
      </c>
      <c r="F8" s="20">
        <v>40</v>
      </c>
      <c r="G8" s="20">
        <v>840</v>
      </c>
    </row>
    <row r="9" spans="1:7">
      <c r="A9" s="2" t="s">
        <v>301</v>
      </c>
      <c r="B9" s="2" t="s">
        <v>294</v>
      </c>
      <c r="C9" s="2" t="s">
        <v>236</v>
      </c>
      <c r="D9" s="2">
        <v>4</v>
      </c>
      <c r="E9" s="20">
        <v>800</v>
      </c>
      <c r="F9" s="20">
        <v>40</v>
      </c>
      <c r="G9" s="20">
        <v>840</v>
      </c>
    </row>
    <row r="10" spans="1:7">
      <c r="A10" s="2" t="s">
        <v>302</v>
      </c>
      <c r="B10" s="2" t="s">
        <v>300</v>
      </c>
      <c r="C10" s="2" t="s">
        <v>271</v>
      </c>
      <c r="D10" s="2">
        <v>17</v>
      </c>
      <c r="E10" s="20">
        <v>3400</v>
      </c>
      <c r="F10" s="20">
        <v>170</v>
      </c>
      <c r="G10" s="20">
        <v>3570</v>
      </c>
    </row>
    <row r="11" spans="1:7">
      <c r="A11" s="2" t="s">
        <v>303</v>
      </c>
      <c r="B11" s="2" t="s">
        <v>300</v>
      </c>
      <c r="C11" s="2" t="s">
        <v>236</v>
      </c>
      <c r="D11" s="2">
        <v>5</v>
      </c>
      <c r="E11" s="20">
        <v>1000</v>
      </c>
      <c r="F11" s="20">
        <v>50</v>
      </c>
      <c r="G11" s="20">
        <v>1050</v>
      </c>
    </row>
    <row r="12" spans="1:7">
      <c r="A12" s="2" t="s">
        <v>304</v>
      </c>
      <c r="B12" s="2" t="s">
        <v>297</v>
      </c>
      <c r="C12" s="2" t="s">
        <v>267</v>
      </c>
      <c r="D12" s="2">
        <v>20</v>
      </c>
      <c r="E12" s="20">
        <v>4000</v>
      </c>
      <c r="F12" s="20">
        <v>200</v>
      </c>
      <c r="G12" s="20">
        <v>4200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980E-BFEF-4B7C-9D4B-80BC3222B944}">
  <sheetPr codeName="Sheet49"/>
  <dimension ref="A1:G12"/>
  <sheetViews>
    <sheetView zoomScaleNormal="100" workbookViewId="0">
      <selection sqref="A1:G1"/>
    </sheetView>
  </sheetViews>
  <sheetFormatPr defaultRowHeight="17"/>
  <cols>
    <col min="1" max="1" width="7.08203125" customWidth="1"/>
    <col min="2" max="3" width="6.58203125" customWidth="1"/>
    <col min="4" max="4" width="8.58203125" customWidth="1"/>
    <col min="5" max="7" width="7.08203125" customWidth="1"/>
  </cols>
  <sheetData>
    <row r="1" spans="1:7">
      <c r="A1" s="61" t="s">
        <v>288</v>
      </c>
      <c r="B1" s="61"/>
      <c r="C1" s="61"/>
      <c r="D1" s="61"/>
      <c r="E1" s="61"/>
      <c r="F1" s="61"/>
      <c r="G1" s="61"/>
    </row>
    <row r="3" spans="1:7">
      <c r="A3" s="2" t="s">
        <v>92</v>
      </c>
      <c r="B3" s="2" t="s">
        <v>108</v>
      </c>
      <c r="C3" s="2" t="s">
        <v>260</v>
      </c>
      <c r="D3" s="2" t="s">
        <v>289</v>
      </c>
      <c r="E3" s="2" t="s">
        <v>290</v>
      </c>
      <c r="F3" s="2" t="s">
        <v>291</v>
      </c>
      <c r="G3" s="2" t="s">
        <v>292</v>
      </c>
    </row>
    <row r="4" spans="1:7">
      <c r="A4" s="2" t="s">
        <v>293</v>
      </c>
      <c r="B4" s="2" t="s">
        <v>294</v>
      </c>
      <c r="C4" s="2" t="s">
        <v>267</v>
      </c>
      <c r="D4" s="2">
        <v>20</v>
      </c>
      <c r="E4" s="20">
        <v>4600</v>
      </c>
      <c r="F4" s="20">
        <v>200</v>
      </c>
      <c r="G4" s="20">
        <v>4800</v>
      </c>
    </row>
    <row r="5" spans="1:7">
      <c r="A5" s="2" t="s">
        <v>295</v>
      </c>
      <c r="B5" s="2" t="s">
        <v>294</v>
      </c>
      <c r="C5" s="2" t="s">
        <v>236</v>
      </c>
      <c r="D5" s="2">
        <v>2</v>
      </c>
      <c r="E5" s="20">
        <v>400</v>
      </c>
      <c r="F5" s="20">
        <v>20</v>
      </c>
      <c r="G5" s="20">
        <v>420</v>
      </c>
    </row>
    <row r="6" spans="1:7">
      <c r="A6" s="2" t="s">
        <v>296</v>
      </c>
      <c r="B6" s="2" t="s">
        <v>297</v>
      </c>
      <c r="C6" s="2" t="s">
        <v>271</v>
      </c>
      <c r="D6" s="2">
        <v>17</v>
      </c>
      <c r="E6" s="20">
        <v>3400</v>
      </c>
      <c r="F6" s="20">
        <v>170</v>
      </c>
      <c r="G6" s="20">
        <v>3570</v>
      </c>
    </row>
    <row r="7" spans="1:7">
      <c r="A7" s="2" t="s">
        <v>298</v>
      </c>
      <c r="B7" s="2" t="s">
        <v>297</v>
      </c>
      <c r="C7" s="2" t="s">
        <v>236</v>
      </c>
      <c r="D7" s="2">
        <v>2</v>
      </c>
      <c r="E7" s="20">
        <v>400</v>
      </c>
      <c r="F7" s="20">
        <v>20</v>
      </c>
      <c r="G7" s="20">
        <v>420</v>
      </c>
    </row>
    <row r="8" spans="1:7">
      <c r="A8" s="2" t="s">
        <v>299</v>
      </c>
      <c r="B8" s="2" t="s">
        <v>300</v>
      </c>
      <c r="C8" s="2" t="s">
        <v>236</v>
      </c>
      <c r="D8" s="2">
        <v>4</v>
      </c>
      <c r="E8" s="20">
        <v>800</v>
      </c>
      <c r="F8" s="20">
        <v>40</v>
      </c>
      <c r="G8" s="20">
        <v>840</v>
      </c>
    </row>
    <row r="9" spans="1:7">
      <c r="A9" s="2" t="s">
        <v>301</v>
      </c>
      <c r="B9" s="2" t="s">
        <v>294</v>
      </c>
      <c r="C9" s="2" t="s">
        <v>236</v>
      </c>
      <c r="D9" s="2">
        <v>4</v>
      </c>
      <c r="E9" s="20">
        <v>800</v>
      </c>
      <c r="F9" s="20">
        <v>40</v>
      </c>
      <c r="G9" s="20">
        <v>840</v>
      </c>
    </row>
    <row r="10" spans="1:7">
      <c r="A10" s="2" t="s">
        <v>302</v>
      </c>
      <c r="B10" s="2" t="s">
        <v>300</v>
      </c>
      <c r="C10" s="2" t="s">
        <v>271</v>
      </c>
      <c r="D10" s="2">
        <v>17</v>
      </c>
      <c r="E10" s="20">
        <v>3400</v>
      </c>
      <c r="F10" s="20">
        <v>170</v>
      </c>
      <c r="G10" s="20">
        <v>3570</v>
      </c>
    </row>
    <row r="11" spans="1:7">
      <c r="A11" s="2" t="s">
        <v>303</v>
      </c>
      <c r="B11" s="2" t="s">
        <v>300</v>
      </c>
      <c r="C11" s="2" t="s">
        <v>236</v>
      </c>
      <c r="D11" s="2">
        <v>5</v>
      </c>
      <c r="E11" s="20">
        <v>1000</v>
      </c>
      <c r="F11" s="20">
        <v>50</v>
      </c>
      <c r="G11" s="20">
        <v>1050</v>
      </c>
    </row>
    <row r="12" spans="1:7">
      <c r="A12" s="2" t="s">
        <v>304</v>
      </c>
      <c r="B12" s="2" t="s">
        <v>297</v>
      </c>
      <c r="C12" s="2" t="s">
        <v>267</v>
      </c>
      <c r="D12" s="2">
        <v>20</v>
      </c>
      <c r="E12" s="20">
        <v>4000</v>
      </c>
      <c r="F12" s="20">
        <v>200</v>
      </c>
      <c r="G12" s="20">
        <v>4200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A5FC-3030-41E0-AA8A-308D51A23E0D}">
  <sheetPr codeName="Sheet51"/>
  <dimension ref="A1:G12"/>
  <sheetViews>
    <sheetView zoomScaleNormal="100" workbookViewId="0">
      <selection sqref="A1:G1"/>
    </sheetView>
  </sheetViews>
  <sheetFormatPr defaultRowHeight="17"/>
  <cols>
    <col min="1" max="1" width="7.08203125" customWidth="1"/>
    <col min="2" max="3" width="6.58203125" customWidth="1"/>
    <col min="4" max="4" width="8.58203125" customWidth="1"/>
    <col min="5" max="7" width="7.08203125" customWidth="1"/>
  </cols>
  <sheetData>
    <row r="1" spans="1:7">
      <c r="A1" s="61" t="s">
        <v>288</v>
      </c>
      <c r="B1" s="61"/>
      <c r="C1" s="61"/>
      <c r="D1" s="61"/>
      <c r="E1" s="61"/>
      <c r="F1" s="61"/>
      <c r="G1" s="61"/>
    </row>
    <row r="3" spans="1:7">
      <c r="A3" s="2" t="s">
        <v>92</v>
      </c>
      <c r="B3" s="2" t="s">
        <v>108</v>
      </c>
      <c r="C3" s="2" t="s">
        <v>260</v>
      </c>
      <c r="D3" s="2" t="s">
        <v>289</v>
      </c>
      <c r="E3" s="2" t="s">
        <v>290</v>
      </c>
      <c r="F3" s="2" t="s">
        <v>291</v>
      </c>
      <c r="G3" s="2" t="s">
        <v>292</v>
      </c>
    </row>
    <row r="4" spans="1:7">
      <c r="A4" s="2" t="s">
        <v>293</v>
      </c>
      <c r="B4" s="2" t="s">
        <v>294</v>
      </c>
      <c r="C4" s="2" t="s">
        <v>267</v>
      </c>
      <c r="D4" s="2">
        <v>20</v>
      </c>
      <c r="E4" s="20">
        <v>4600</v>
      </c>
      <c r="F4" s="20">
        <v>200</v>
      </c>
      <c r="G4" s="20">
        <v>4800</v>
      </c>
    </row>
    <row r="5" spans="1:7">
      <c r="A5" s="2" t="s">
        <v>295</v>
      </c>
      <c r="B5" s="2" t="s">
        <v>294</v>
      </c>
      <c r="C5" s="2" t="s">
        <v>236</v>
      </c>
      <c r="D5" s="2">
        <v>2</v>
      </c>
      <c r="E5" s="20">
        <v>400</v>
      </c>
      <c r="F5" s="20">
        <v>20</v>
      </c>
      <c r="G5" s="20">
        <v>420</v>
      </c>
    </row>
    <row r="6" spans="1:7">
      <c r="A6" s="2" t="s">
        <v>296</v>
      </c>
      <c r="B6" s="2" t="s">
        <v>297</v>
      </c>
      <c r="C6" s="2" t="s">
        <v>271</v>
      </c>
      <c r="D6" s="2">
        <v>17</v>
      </c>
      <c r="E6" s="20">
        <v>3400</v>
      </c>
      <c r="F6" s="20">
        <v>170</v>
      </c>
      <c r="G6" s="20">
        <v>3570</v>
      </c>
    </row>
    <row r="7" spans="1:7">
      <c r="A7" s="2" t="s">
        <v>298</v>
      </c>
      <c r="B7" s="2" t="s">
        <v>297</v>
      </c>
      <c r="C7" s="2" t="s">
        <v>236</v>
      </c>
      <c r="D7" s="2">
        <v>2</v>
      </c>
      <c r="E7" s="20">
        <v>400</v>
      </c>
      <c r="F7" s="20">
        <v>20</v>
      </c>
      <c r="G7" s="20">
        <v>420</v>
      </c>
    </row>
    <row r="8" spans="1:7">
      <c r="A8" s="2" t="s">
        <v>299</v>
      </c>
      <c r="B8" s="2" t="s">
        <v>300</v>
      </c>
      <c r="C8" s="2" t="s">
        <v>236</v>
      </c>
      <c r="D8" s="2">
        <v>4</v>
      </c>
      <c r="E8" s="20">
        <v>800</v>
      </c>
      <c r="F8" s="20">
        <v>40</v>
      </c>
      <c r="G8" s="20">
        <v>840</v>
      </c>
    </row>
    <row r="9" spans="1:7">
      <c r="A9" s="2" t="s">
        <v>301</v>
      </c>
      <c r="B9" s="2" t="s">
        <v>294</v>
      </c>
      <c r="C9" s="2" t="s">
        <v>236</v>
      </c>
      <c r="D9" s="2">
        <v>4</v>
      </c>
      <c r="E9" s="20">
        <v>800</v>
      </c>
      <c r="F9" s="20">
        <v>40</v>
      </c>
      <c r="G9" s="20">
        <v>840</v>
      </c>
    </row>
    <row r="10" spans="1:7">
      <c r="A10" s="2" t="s">
        <v>302</v>
      </c>
      <c r="B10" s="2" t="s">
        <v>300</v>
      </c>
      <c r="C10" s="2" t="s">
        <v>271</v>
      </c>
      <c r="D10" s="2">
        <v>17</v>
      </c>
      <c r="E10" s="20">
        <v>3400</v>
      </c>
      <c r="F10" s="20">
        <v>170</v>
      </c>
      <c r="G10" s="20">
        <v>3570</v>
      </c>
    </row>
    <row r="11" spans="1:7">
      <c r="A11" s="2" t="s">
        <v>303</v>
      </c>
      <c r="B11" s="2" t="s">
        <v>300</v>
      </c>
      <c r="C11" s="2" t="s">
        <v>236</v>
      </c>
      <c r="D11" s="2">
        <v>5</v>
      </c>
      <c r="E11" s="20">
        <v>1000</v>
      </c>
      <c r="F11" s="20">
        <v>50</v>
      </c>
      <c r="G11" s="20">
        <v>1050</v>
      </c>
    </row>
    <row r="12" spans="1:7">
      <c r="A12" s="2" t="s">
        <v>304</v>
      </c>
      <c r="B12" s="2" t="s">
        <v>297</v>
      </c>
      <c r="C12" s="2" t="s">
        <v>267</v>
      </c>
      <c r="D12" s="2">
        <v>20</v>
      </c>
      <c r="E12" s="20">
        <v>4000</v>
      </c>
      <c r="F12" s="20">
        <v>200</v>
      </c>
      <c r="G12" s="20">
        <v>4200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2AADF-42E0-4056-8BAA-AE29F4C60F1E}">
  <sheetPr codeName="Sheet53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9C003-8756-4501-BAD5-343A393D1017}">
  <sheetPr codeName="Sheet55"/>
  <dimension ref="A1:G12"/>
  <sheetViews>
    <sheetView zoomScaleNormal="100" workbookViewId="0">
      <selection sqref="A1:G1"/>
    </sheetView>
  </sheetViews>
  <sheetFormatPr defaultRowHeight="17"/>
  <cols>
    <col min="1" max="1" width="7.08203125" customWidth="1"/>
    <col min="2" max="3" width="6.58203125" customWidth="1"/>
    <col min="4" max="4" width="8.58203125" customWidth="1"/>
    <col min="5" max="6" width="7.08203125" customWidth="1"/>
    <col min="7" max="7" width="8.08203125" customWidth="1"/>
  </cols>
  <sheetData>
    <row r="1" spans="1:7">
      <c r="A1" s="61" t="s">
        <v>288</v>
      </c>
      <c r="B1" s="61"/>
      <c r="C1" s="61"/>
      <c r="D1" s="61"/>
      <c r="E1" s="61"/>
      <c r="F1" s="61"/>
      <c r="G1" s="61"/>
    </row>
    <row r="3" spans="1:7">
      <c r="A3" s="2" t="s">
        <v>92</v>
      </c>
      <c r="B3" s="2" t="s">
        <v>108</v>
      </c>
      <c r="C3" s="2" t="s">
        <v>260</v>
      </c>
      <c r="D3" s="2" t="s">
        <v>289</v>
      </c>
      <c r="E3" s="2" t="s">
        <v>290</v>
      </c>
      <c r="F3" s="2" t="s">
        <v>291</v>
      </c>
      <c r="G3" s="2" t="s">
        <v>292</v>
      </c>
    </row>
    <row r="4" spans="1:7">
      <c r="A4" s="2" t="s">
        <v>293</v>
      </c>
      <c r="B4" s="2" t="s">
        <v>294</v>
      </c>
      <c r="C4" s="2" t="s">
        <v>267</v>
      </c>
      <c r="D4" s="2">
        <v>20</v>
      </c>
      <c r="E4" s="20">
        <v>4600</v>
      </c>
      <c r="F4" s="20">
        <v>200</v>
      </c>
      <c r="G4" s="20">
        <v>4800</v>
      </c>
    </row>
    <row r="5" spans="1:7">
      <c r="A5" s="2" t="s">
        <v>295</v>
      </c>
      <c r="B5" s="2" t="s">
        <v>294</v>
      </c>
      <c r="C5" s="2" t="s">
        <v>236</v>
      </c>
      <c r="D5" s="2">
        <v>2</v>
      </c>
      <c r="E5" s="20">
        <v>400</v>
      </c>
      <c r="F5" s="20">
        <v>20</v>
      </c>
      <c r="G5" s="20">
        <v>420</v>
      </c>
    </row>
    <row r="6" spans="1:7">
      <c r="A6" s="2" t="s">
        <v>296</v>
      </c>
      <c r="B6" s="2" t="s">
        <v>297</v>
      </c>
      <c r="C6" s="2" t="s">
        <v>271</v>
      </c>
      <c r="D6" s="2">
        <v>17</v>
      </c>
      <c r="E6" s="20">
        <v>3400</v>
      </c>
      <c r="F6" s="20">
        <v>170</v>
      </c>
      <c r="G6" s="20">
        <v>3570</v>
      </c>
    </row>
    <row r="7" spans="1:7">
      <c r="A7" s="2" t="s">
        <v>298</v>
      </c>
      <c r="B7" s="2" t="s">
        <v>297</v>
      </c>
      <c r="C7" s="2" t="s">
        <v>236</v>
      </c>
      <c r="D7" s="2">
        <v>2</v>
      </c>
      <c r="E7" s="20">
        <v>400</v>
      </c>
      <c r="F7" s="20">
        <v>20</v>
      </c>
      <c r="G7" s="20">
        <v>420</v>
      </c>
    </row>
    <row r="8" spans="1:7">
      <c r="A8" s="2" t="s">
        <v>299</v>
      </c>
      <c r="B8" s="2" t="s">
        <v>300</v>
      </c>
      <c r="C8" s="2" t="s">
        <v>236</v>
      </c>
      <c r="D8" s="2">
        <v>4</v>
      </c>
      <c r="E8" s="20">
        <v>800</v>
      </c>
      <c r="F8" s="20">
        <v>40</v>
      </c>
      <c r="G8" s="20">
        <v>840</v>
      </c>
    </row>
    <row r="9" spans="1:7">
      <c r="A9" s="2" t="s">
        <v>301</v>
      </c>
      <c r="B9" s="2" t="s">
        <v>294</v>
      </c>
      <c r="C9" s="2" t="s">
        <v>236</v>
      </c>
      <c r="D9" s="2">
        <v>4</v>
      </c>
      <c r="E9" s="20">
        <v>800</v>
      </c>
      <c r="F9" s="20">
        <v>40</v>
      </c>
      <c r="G9" s="20">
        <v>840</v>
      </c>
    </row>
    <row r="10" spans="1:7">
      <c r="A10" s="2" t="s">
        <v>302</v>
      </c>
      <c r="B10" s="2" t="s">
        <v>300</v>
      </c>
      <c r="C10" s="2" t="s">
        <v>271</v>
      </c>
      <c r="D10" s="2">
        <v>17</v>
      </c>
      <c r="E10" s="20">
        <v>3400</v>
      </c>
      <c r="F10" s="20">
        <v>170</v>
      </c>
      <c r="G10" s="20">
        <v>3570</v>
      </c>
    </row>
    <row r="11" spans="1:7">
      <c r="A11" s="2" t="s">
        <v>303</v>
      </c>
      <c r="B11" s="2" t="s">
        <v>300</v>
      </c>
      <c r="C11" s="2" t="s">
        <v>236</v>
      </c>
      <c r="D11" s="2">
        <v>5</v>
      </c>
      <c r="E11" s="20">
        <v>1000</v>
      </c>
      <c r="F11" s="20">
        <v>50</v>
      </c>
      <c r="G11" s="20">
        <v>1050</v>
      </c>
    </row>
    <row r="12" spans="1:7">
      <c r="A12" s="2" t="s">
        <v>304</v>
      </c>
      <c r="B12" s="2" t="s">
        <v>297</v>
      </c>
      <c r="C12" s="2" t="s">
        <v>267</v>
      </c>
      <c r="D12" s="2">
        <v>20</v>
      </c>
      <c r="E12" s="20">
        <v>4000</v>
      </c>
      <c r="F12" s="20">
        <v>200</v>
      </c>
      <c r="G12" s="20">
        <v>4200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ECC53-6EF1-46C1-B5A9-986A94BD7B70}">
  <sheetPr codeName="Sheet58"/>
  <dimension ref="A1:G12"/>
  <sheetViews>
    <sheetView zoomScaleNormal="100" workbookViewId="0">
      <selection sqref="A1:G1"/>
    </sheetView>
  </sheetViews>
  <sheetFormatPr defaultRowHeight="17"/>
  <cols>
    <col min="1" max="1" width="7.08203125" customWidth="1"/>
    <col min="2" max="3" width="6.58203125" customWidth="1"/>
    <col min="4" max="4" width="8.58203125" customWidth="1"/>
    <col min="5" max="5" width="7.08203125" bestFit="1" customWidth="1"/>
    <col min="6" max="6" width="7.08203125" customWidth="1"/>
    <col min="7" max="7" width="7.08203125" bestFit="1" customWidth="1"/>
  </cols>
  <sheetData>
    <row r="1" spans="1:7">
      <c r="A1" s="61" t="s">
        <v>288</v>
      </c>
      <c r="B1" s="61"/>
      <c r="C1" s="61"/>
      <c r="D1" s="61"/>
      <c r="E1" s="61"/>
      <c r="F1" s="61"/>
      <c r="G1" s="61"/>
    </row>
    <row r="3" spans="1:7">
      <c r="A3" s="2" t="s">
        <v>92</v>
      </c>
      <c r="B3" s="2" t="s">
        <v>108</v>
      </c>
      <c r="C3" s="2" t="s">
        <v>260</v>
      </c>
      <c r="D3" s="2" t="s">
        <v>289</v>
      </c>
      <c r="E3" s="2" t="s">
        <v>290</v>
      </c>
      <c r="F3" s="2" t="s">
        <v>291</v>
      </c>
      <c r="G3" s="2" t="s">
        <v>292</v>
      </c>
    </row>
    <row r="4" spans="1:7">
      <c r="A4" s="2" t="s">
        <v>293</v>
      </c>
      <c r="B4" s="2" t="s">
        <v>294</v>
      </c>
      <c r="C4" s="2" t="s">
        <v>267</v>
      </c>
      <c r="D4" s="2">
        <v>20</v>
      </c>
      <c r="E4" s="20">
        <v>4600</v>
      </c>
      <c r="F4" s="20">
        <v>200</v>
      </c>
      <c r="G4" s="20">
        <v>4800</v>
      </c>
    </row>
    <row r="5" spans="1:7">
      <c r="A5" s="2" t="s">
        <v>295</v>
      </c>
      <c r="B5" s="2" t="s">
        <v>294</v>
      </c>
      <c r="C5" s="2" t="s">
        <v>236</v>
      </c>
      <c r="D5" s="2">
        <v>2</v>
      </c>
      <c r="E5" s="20">
        <v>400</v>
      </c>
      <c r="F5" s="20">
        <v>20</v>
      </c>
      <c r="G5" s="20">
        <v>420</v>
      </c>
    </row>
    <row r="6" spans="1:7">
      <c r="A6" s="2" t="s">
        <v>296</v>
      </c>
      <c r="B6" s="2" t="s">
        <v>297</v>
      </c>
      <c r="C6" s="2" t="s">
        <v>271</v>
      </c>
      <c r="D6" s="2">
        <v>17</v>
      </c>
      <c r="E6" s="20">
        <v>3400</v>
      </c>
      <c r="F6" s="20">
        <v>170</v>
      </c>
      <c r="G6" s="20">
        <v>3570</v>
      </c>
    </row>
    <row r="7" spans="1:7">
      <c r="A7" s="2" t="s">
        <v>298</v>
      </c>
      <c r="B7" s="2" t="s">
        <v>297</v>
      </c>
      <c r="C7" s="2" t="s">
        <v>236</v>
      </c>
      <c r="D7" s="2">
        <v>2</v>
      </c>
      <c r="E7" s="20">
        <v>400</v>
      </c>
      <c r="F7" s="20">
        <v>20</v>
      </c>
      <c r="G7" s="20">
        <v>420</v>
      </c>
    </row>
    <row r="8" spans="1:7">
      <c r="A8" s="2" t="s">
        <v>299</v>
      </c>
      <c r="B8" s="2" t="s">
        <v>300</v>
      </c>
      <c r="C8" s="2" t="s">
        <v>236</v>
      </c>
      <c r="D8" s="2">
        <v>4</v>
      </c>
      <c r="E8" s="20">
        <v>800</v>
      </c>
      <c r="F8" s="20">
        <v>40</v>
      </c>
      <c r="G8" s="20">
        <v>840</v>
      </c>
    </row>
    <row r="9" spans="1:7">
      <c r="A9" s="2" t="s">
        <v>301</v>
      </c>
      <c r="B9" s="2" t="s">
        <v>294</v>
      </c>
      <c r="C9" s="2" t="s">
        <v>236</v>
      </c>
      <c r="D9" s="2">
        <v>4</v>
      </c>
      <c r="E9" s="20">
        <v>800</v>
      </c>
      <c r="F9" s="20">
        <v>40</v>
      </c>
      <c r="G9" s="20">
        <v>840</v>
      </c>
    </row>
    <row r="10" spans="1:7">
      <c r="A10" s="2" t="s">
        <v>302</v>
      </c>
      <c r="B10" s="2" t="s">
        <v>300</v>
      </c>
      <c r="C10" s="2" t="s">
        <v>271</v>
      </c>
      <c r="D10" s="2">
        <v>17</v>
      </c>
      <c r="E10" s="20">
        <v>3400</v>
      </c>
      <c r="F10" s="20">
        <v>170</v>
      </c>
      <c r="G10" s="20">
        <v>3570</v>
      </c>
    </row>
    <row r="11" spans="1:7">
      <c r="A11" s="2" t="s">
        <v>303</v>
      </c>
      <c r="B11" s="2" t="s">
        <v>300</v>
      </c>
      <c r="C11" s="2" t="s">
        <v>236</v>
      </c>
      <c r="D11" s="2">
        <v>5</v>
      </c>
      <c r="E11" s="20">
        <v>1000</v>
      </c>
      <c r="F11" s="20">
        <v>50</v>
      </c>
      <c r="G11" s="20">
        <v>1050</v>
      </c>
    </row>
    <row r="12" spans="1:7">
      <c r="A12" s="2" t="s">
        <v>304</v>
      </c>
      <c r="B12" s="2" t="s">
        <v>297</v>
      </c>
      <c r="C12" s="2" t="s">
        <v>267</v>
      </c>
      <c r="D12" s="2">
        <v>20</v>
      </c>
      <c r="E12" s="20">
        <v>4000</v>
      </c>
      <c r="F12" s="20">
        <v>200</v>
      </c>
      <c r="G12" s="20">
        <v>4200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0A72-7AB2-49B7-8A24-687DD92D3015}">
  <sheetPr codeName="Sheet59"/>
  <dimension ref="A1:E10"/>
  <sheetViews>
    <sheetView workbookViewId="0"/>
  </sheetViews>
  <sheetFormatPr defaultRowHeight="17"/>
  <cols>
    <col min="1" max="1" width="12.5" bestFit="1" customWidth="1"/>
    <col min="2" max="4" width="8.08203125" bestFit="1" customWidth="1"/>
    <col min="5" max="5" width="6.83203125" bestFit="1" customWidth="1"/>
  </cols>
  <sheetData>
    <row r="1" spans="1:5">
      <c r="A1" t="s">
        <v>92</v>
      </c>
      <c r="B1" t="s">
        <v>306</v>
      </c>
    </row>
    <row r="3" spans="1:5">
      <c r="A3" t="s">
        <v>307</v>
      </c>
      <c r="B3" t="s">
        <v>260</v>
      </c>
    </row>
    <row r="4" spans="1:5">
      <c r="A4" t="s">
        <v>289</v>
      </c>
      <c r="B4" t="s">
        <v>271</v>
      </c>
      <c r="C4" t="s">
        <v>267</v>
      </c>
      <c r="D4" t="s">
        <v>236</v>
      </c>
      <c r="E4" t="s">
        <v>305</v>
      </c>
    </row>
    <row r="5" spans="1:5">
      <c r="A5">
        <v>2</v>
      </c>
      <c r="D5">
        <v>840</v>
      </c>
      <c r="E5">
        <v>840</v>
      </c>
    </row>
    <row r="6" spans="1:5">
      <c r="A6">
        <v>4</v>
      </c>
      <c r="D6">
        <v>1680</v>
      </c>
      <c r="E6">
        <v>1680</v>
      </c>
    </row>
    <row r="7" spans="1:5">
      <c r="A7">
        <v>5</v>
      </c>
      <c r="D7">
        <v>1050</v>
      </c>
      <c r="E7">
        <v>1050</v>
      </c>
    </row>
    <row r="8" spans="1:5">
      <c r="A8">
        <v>17</v>
      </c>
      <c r="B8">
        <v>7140</v>
      </c>
      <c r="E8">
        <v>7140</v>
      </c>
    </row>
    <row r="9" spans="1:5">
      <c r="A9">
        <v>20</v>
      </c>
      <c r="C9">
        <v>9000</v>
      </c>
      <c r="E9">
        <v>9000</v>
      </c>
    </row>
    <row r="10" spans="1:5">
      <c r="A10" t="s">
        <v>305</v>
      </c>
      <c r="B10">
        <v>7140</v>
      </c>
      <c r="C10">
        <v>9000</v>
      </c>
      <c r="D10">
        <v>3570</v>
      </c>
      <c r="E10">
        <v>19710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6C519-9032-476D-9F42-6B54ACF01D26}">
  <sheetPr codeName="Sheet62"/>
  <dimension ref="A1:F8"/>
  <sheetViews>
    <sheetView workbookViewId="0">
      <selection sqref="A1:F1"/>
    </sheetView>
  </sheetViews>
  <sheetFormatPr defaultRowHeight="17"/>
  <cols>
    <col min="1" max="6" width="7.58203125" customWidth="1"/>
  </cols>
  <sheetData>
    <row r="1" spans="1:6">
      <c r="A1" s="61" t="s">
        <v>339</v>
      </c>
      <c r="B1" s="61"/>
      <c r="C1" s="61"/>
      <c r="D1" s="61"/>
      <c r="E1" s="61"/>
      <c r="F1" s="61"/>
    </row>
    <row r="3" spans="1:6">
      <c r="A3" s="2" t="s">
        <v>92</v>
      </c>
      <c r="B3" s="2" t="s">
        <v>308</v>
      </c>
      <c r="C3" s="2" t="s">
        <v>8</v>
      </c>
      <c r="D3" s="2" t="s">
        <v>309</v>
      </c>
      <c r="E3" s="2" t="s">
        <v>9</v>
      </c>
      <c r="F3" s="2" t="s">
        <v>310</v>
      </c>
    </row>
    <row r="4" spans="1:6">
      <c r="A4" s="2" t="s">
        <v>311</v>
      </c>
      <c r="B4" s="2" t="s">
        <v>312</v>
      </c>
      <c r="C4" s="2">
        <v>86</v>
      </c>
      <c r="D4" s="2">
        <v>89</v>
      </c>
      <c r="E4" s="2">
        <v>90</v>
      </c>
      <c r="F4" s="49">
        <f>AVERAGE(C4:E4)</f>
        <v>88.333333333333329</v>
      </c>
    </row>
    <row r="5" spans="1:6">
      <c r="A5" s="2" t="s">
        <v>313</v>
      </c>
      <c r="B5" s="2" t="s">
        <v>314</v>
      </c>
      <c r="C5" s="2">
        <v>92</v>
      </c>
      <c r="D5" s="2">
        <v>91</v>
      </c>
      <c r="E5" s="2">
        <v>92</v>
      </c>
      <c r="F5" s="49">
        <f t="shared" ref="F5:F8" si="0">AVERAGE(C5:E5)</f>
        <v>91.666666666666671</v>
      </c>
    </row>
    <row r="6" spans="1:6">
      <c r="A6" s="2" t="s">
        <v>315</v>
      </c>
      <c r="B6" s="2" t="s">
        <v>312</v>
      </c>
      <c r="C6" s="2">
        <v>75</v>
      </c>
      <c r="D6" s="2">
        <v>78</v>
      </c>
      <c r="E6" s="2">
        <v>80</v>
      </c>
      <c r="F6" s="49">
        <f t="shared" si="0"/>
        <v>77.666666666666671</v>
      </c>
    </row>
    <row r="7" spans="1:6">
      <c r="A7" s="2" t="s">
        <v>316</v>
      </c>
      <c r="B7" s="2" t="s">
        <v>314</v>
      </c>
      <c r="C7" s="2">
        <v>90</v>
      </c>
      <c r="D7" s="2">
        <v>93</v>
      </c>
      <c r="E7" s="2">
        <v>91</v>
      </c>
      <c r="F7" s="49">
        <f t="shared" si="0"/>
        <v>91.333333333333329</v>
      </c>
    </row>
    <row r="8" spans="1:6">
      <c r="A8" s="2" t="s">
        <v>317</v>
      </c>
      <c r="B8" s="2" t="s">
        <v>312</v>
      </c>
      <c r="C8" s="2">
        <v>95</v>
      </c>
      <c r="D8" s="2">
        <v>93</v>
      </c>
      <c r="E8" s="2">
        <v>92</v>
      </c>
      <c r="F8" s="49">
        <f t="shared" si="0"/>
        <v>93.333333333333329</v>
      </c>
    </row>
  </sheetData>
  <scenarios current="0" sqref="F4">
    <scenario name="1111" locked="1" count="1" user="김종일" comment="만든 사람 김종일 날짜 2024-03-14">
      <inputCells r="E4" val="80"/>
    </scenario>
    <scenario name="2222" locked="1" count="1" user="김종일" comment="만든 사람 김종일 날짜 2024-03-14">
      <inputCells r="E4" val="100"/>
    </scenario>
  </scenarios>
  <mergeCells count="1">
    <mergeCell ref="A1:F1"/>
  </mergeCells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90EE-31A5-4FD6-9219-E3F65F68C5D1}">
  <sheetPr codeName="Sheet64"/>
  <dimension ref="A1:F8"/>
  <sheetViews>
    <sheetView workbookViewId="0">
      <selection sqref="A1:F1"/>
    </sheetView>
  </sheetViews>
  <sheetFormatPr defaultRowHeight="17"/>
  <cols>
    <col min="1" max="6" width="7.58203125" customWidth="1"/>
  </cols>
  <sheetData>
    <row r="1" spans="1:6">
      <c r="A1" s="61" t="s">
        <v>339</v>
      </c>
      <c r="B1" s="61"/>
      <c r="C1" s="61"/>
      <c r="D1" s="61"/>
      <c r="E1" s="61"/>
      <c r="F1" s="61"/>
    </row>
    <row r="3" spans="1:6">
      <c r="A3" s="2" t="s">
        <v>92</v>
      </c>
      <c r="B3" s="2" t="s">
        <v>308</v>
      </c>
      <c r="C3" s="2" t="s">
        <v>8</v>
      </c>
      <c r="D3" s="2" t="s">
        <v>309</v>
      </c>
      <c r="E3" s="2" t="s">
        <v>9</v>
      </c>
      <c r="F3" s="2" t="s">
        <v>310</v>
      </c>
    </row>
    <row r="4" spans="1:6">
      <c r="A4" s="2" t="s">
        <v>311</v>
      </c>
      <c r="B4" s="2" t="s">
        <v>312</v>
      </c>
      <c r="C4" s="2">
        <v>86</v>
      </c>
      <c r="D4" s="2">
        <v>89</v>
      </c>
      <c r="E4" s="2">
        <v>90</v>
      </c>
      <c r="F4" s="49">
        <f>AVERAGE(C4:E4)</f>
        <v>88.333333333333329</v>
      </c>
    </row>
    <row r="5" spans="1:6">
      <c r="A5" s="2" t="s">
        <v>313</v>
      </c>
      <c r="B5" s="2" t="s">
        <v>314</v>
      </c>
      <c r="C5" s="2">
        <v>92</v>
      </c>
      <c r="D5" s="2">
        <v>91</v>
      </c>
      <c r="E5" s="2">
        <v>92</v>
      </c>
      <c r="F5" s="49">
        <f t="shared" ref="F5:F8" si="0">AVERAGE(C5:E5)</f>
        <v>91.666666666666671</v>
      </c>
    </row>
    <row r="6" spans="1:6">
      <c r="A6" s="2" t="s">
        <v>315</v>
      </c>
      <c r="B6" s="2" t="s">
        <v>312</v>
      </c>
      <c r="C6" s="2">
        <v>75</v>
      </c>
      <c r="D6" s="2">
        <v>78</v>
      </c>
      <c r="E6" s="2">
        <v>80</v>
      </c>
      <c r="F6" s="49">
        <f t="shared" si="0"/>
        <v>77.666666666666671</v>
      </c>
    </row>
    <row r="7" spans="1:6">
      <c r="A7" s="2" t="s">
        <v>316</v>
      </c>
      <c r="B7" s="2" t="s">
        <v>314</v>
      </c>
      <c r="C7" s="2">
        <v>90</v>
      </c>
      <c r="D7" s="2">
        <v>93</v>
      </c>
      <c r="E7" s="2">
        <v>91</v>
      </c>
      <c r="F7" s="49">
        <f t="shared" si="0"/>
        <v>91.333333333333329</v>
      </c>
    </row>
    <row r="8" spans="1:6">
      <c r="A8" s="2" t="s">
        <v>317</v>
      </c>
      <c r="B8" s="2" t="s">
        <v>312</v>
      </c>
      <c r="C8" s="2">
        <v>95</v>
      </c>
      <c r="D8" s="2">
        <v>93</v>
      </c>
      <c r="E8" s="2">
        <v>92</v>
      </c>
      <c r="F8" s="49">
        <f t="shared" si="0"/>
        <v>93.333333333333329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1356-452D-4402-88E6-C4C42301E9AF}">
  <sheetPr codeName="Sheet65"/>
  <dimension ref="A1:H7"/>
  <sheetViews>
    <sheetView workbookViewId="0">
      <selection sqref="A1:B1"/>
    </sheetView>
  </sheetViews>
  <sheetFormatPr defaultRowHeight="17"/>
  <cols>
    <col min="1" max="2" width="7.08203125" customWidth="1"/>
    <col min="3" max="3" width="3.58203125" customWidth="1"/>
    <col min="4" max="8" width="7.08203125" customWidth="1"/>
  </cols>
  <sheetData>
    <row r="1" spans="1:8">
      <c r="A1" s="61" t="s">
        <v>340</v>
      </c>
      <c r="B1" s="61"/>
      <c r="D1" s="61" t="s">
        <v>341</v>
      </c>
      <c r="E1" s="61"/>
      <c r="F1" s="61"/>
      <c r="G1" s="61"/>
      <c r="H1" s="61"/>
    </row>
    <row r="2" spans="1:8">
      <c r="A2" s="2" t="s">
        <v>8</v>
      </c>
      <c r="B2" s="2">
        <v>90</v>
      </c>
    </row>
    <row r="3" spans="1:8">
      <c r="A3" s="2" t="s">
        <v>309</v>
      </c>
      <c r="B3" s="2">
        <v>80</v>
      </c>
      <c r="D3" s="48"/>
      <c r="E3" s="48"/>
      <c r="F3" s="68" t="s">
        <v>8</v>
      </c>
      <c r="G3" s="69"/>
      <c r="H3" s="70"/>
    </row>
    <row r="4" spans="1:8">
      <c r="A4" s="2" t="s">
        <v>9</v>
      </c>
      <c r="B4" s="2">
        <v>70</v>
      </c>
      <c r="D4" s="48"/>
      <c r="E4" s="2"/>
      <c r="F4" s="51">
        <v>80</v>
      </c>
      <c r="G4" s="51">
        <v>90</v>
      </c>
      <c r="H4" s="51">
        <v>100</v>
      </c>
    </row>
    <row r="5" spans="1:8">
      <c r="A5" s="2" t="s">
        <v>3</v>
      </c>
      <c r="B5" s="2">
        <f>SUM(B2:B4)</f>
        <v>240</v>
      </c>
      <c r="D5" s="71" t="s">
        <v>309</v>
      </c>
      <c r="E5" s="50">
        <v>80</v>
      </c>
      <c r="F5" s="2"/>
      <c r="G5" s="2"/>
      <c r="H5" s="2"/>
    </row>
    <row r="6" spans="1:8">
      <c r="D6" s="72"/>
      <c r="E6" s="50">
        <v>90</v>
      </c>
      <c r="F6" s="2"/>
      <c r="G6" s="2"/>
      <c r="H6" s="2"/>
    </row>
    <row r="7" spans="1:8">
      <c r="D7" s="73"/>
      <c r="E7" s="50">
        <v>100</v>
      </c>
      <c r="F7" s="2"/>
      <c r="G7" s="2"/>
      <c r="H7" s="2"/>
    </row>
  </sheetData>
  <mergeCells count="4">
    <mergeCell ref="A1:B1"/>
    <mergeCell ref="D1:H1"/>
    <mergeCell ref="F3:H3"/>
    <mergeCell ref="D5:D7"/>
  </mergeCells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50A00-0AD7-42DB-82B2-43E5AC40338C}">
  <sheetPr codeName="Sheet67"/>
  <dimension ref="A1:I10"/>
  <sheetViews>
    <sheetView workbookViewId="0">
      <selection sqref="A1:D1"/>
    </sheetView>
  </sheetViews>
  <sheetFormatPr defaultRowHeight="17"/>
  <cols>
    <col min="1" max="1" width="11.08203125" customWidth="1"/>
    <col min="5" max="5" width="3.58203125" customWidth="1"/>
    <col min="6" max="6" width="11.08203125" bestFit="1" customWidth="1"/>
  </cols>
  <sheetData>
    <row r="1" spans="1:9">
      <c r="A1" s="61" t="s">
        <v>318</v>
      </c>
      <c r="B1" s="61"/>
      <c r="C1" s="61"/>
      <c r="D1" s="61"/>
      <c r="F1" s="61" t="s">
        <v>319</v>
      </c>
      <c r="G1" s="61"/>
      <c r="H1" s="61"/>
      <c r="I1" s="61"/>
    </row>
    <row r="2" spans="1:9">
      <c r="A2" s="2" t="s">
        <v>320</v>
      </c>
      <c r="B2" s="2" t="s">
        <v>321</v>
      </c>
      <c r="C2" s="2" t="s">
        <v>322</v>
      </c>
      <c r="D2" s="2" t="s">
        <v>323</v>
      </c>
      <c r="F2" s="2" t="s">
        <v>320</v>
      </c>
      <c r="G2" s="2" t="s">
        <v>321</v>
      </c>
      <c r="H2" s="2" t="s">
        <v>322</v>
      </c>
      <c r="I2" s="2" t="s">
        <v>323</v>
      </c>
    </row>
    <row r="3" spans="1:9">
      <c r="A3" s="2" t="s">
        <v>324</v>
      </c>
      <c r="B3" s="2" t="s">
        <v>325</v>
      </c>
      <c r="C3" s="20">
        <v>213</v>
      </c>
      <c r="D3" s="20">
        <v>17358</v>
      </c>
      <c r="F3" s="2" t="s">
        <v>324</v>
      </c>
      <c r="G3" s="2" t="s">
        <v>325</v>
      </c>
      <c r="H3" s="20">
        <v>369</v>
      </c>
      <c r="I3" s="20">
        <v>12098</v>
      </c>
    </row>
    <row r="4" spans="1:9">
      <c r="A4" s="2" t="s">
        <v>326</v>
      </c>
      <c r="B4" s="2" t="s">
        <v>327</v>
      </c>
      <c r="C4" s="20">
        <v>511</v>
      </c>
      <c r="D4" s="20">
        <v>25338</v>
      </c>
      <c r="F4" s="2" t="s">
        <v>328</v>
      </c>
      <c r="G4" s="2" t="s">
        <v>329</v>
      </c>
      <c r="H4" s="20">
        <v>843</v>
      </c>
      <c r="I4" s="20">
        <v>16492</v>
      </c>
    </row>
    <row r="5" spans="1:9">
      <c r="A5" s="2" t="s">
        <v>330</v>
      </c>
      <c r="B5" s="2" t="s">
        <v>327</v>
      </c>
      <c r="C5" s="20">
        <v>458</v>
      </c>
      <c r="D5" s="20">
        <v>19158</v>
      </c>
      <c r="F5" s="2" t="s">
        <v>328</v>
      </c>
      <c r="G5" s="2" t="s">
        <v>331</v>
      </c>
      <c r="H5" s="20">
        <v>579</v>
      </c>
      <c r="I5" s="20">
        <v>17081</v>
      </c>
    </row>
    <row r="6" spans="1:9">
      <c r="A6" s="2" t="s">
        <v>324</v>
      </c>
      <c r="B6" s="2" t="s">
        <v>325</v>
      </c>
      <c r="C6" s="20">
        <v>325</v>
      </c>
      <c r="D6" s="20">
        <v>25956</v>
      </c>
      <c r="F6" s="2" t="s">
        <v>326</v>
      </c>
      <c r="G6" s="2" t="s">
        <v>332</v>
      </c>
      <c r="H6" s="20">
        <v>117</v>
      </c>
      <c r="I6" s="20">
        <v>13150</v>
      </c>
    </row>
    <row r="7" spans="1:9">
      <c r="A7" s="2" t="s">
        <v>330</v>
      </c>
      <c r="B7" s="2" t="s">
        <v>327</v>
      </c>
      <c r="C7" s="20">
        <v>1021</v>
      </c>
      <c r="D7" s="20">
        <v>20615</v>
      </c>
    </row>
    <row r="9" spans="1:9">
      <c r="A9" s="61" t="s">
        <v>342</v>
      </c>
      <c r="B9" s="61"/>
      <c r="C9" s="61"/>
    </row>
    <row r="10" spans="1:9">
      <c r="A10" s="2" t="s">
        <v>320</v>
      </c>
      <c r="B10" s="2" t="s">
        <v>322</v>
      </c>
      <c r="C10" s="2" t="s">
        <v>323</v>
      </c>
    </row>
  </sheetData>
  <dataConsolidate/>
  <mergeCells count="3">
    <mergeCell ref="A1:D1"/>
    <mergeCell ref="F1:I1"/>
    <mergeCell ref="A9:C9"/>
  </mergeCells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28C1-CA27-46AC-8E13-649E5232870D}">
  <sheetPr codeName="Sheet70"/>
  <dimension ref="A1:F5"/>
  <sheetViews>
    <sheetView workbookViewId="0"/>
  </sheetViews>
  <sheetFormatPr defaultRowHeight="17"/>
  <cols>
    <col min="1" max="6" width="8.33203125" customWidth="1"/>
  </cols>
  <sheetData>
    <row r="1" spans="1:6">
      <c r="A1" s="3" t="s">
        <v>92</v>
      </c>
      <c r="B1" s="3" t="s">
        <v>8</v>
      </c>
      <c r="C1" s="3" t="s">
        <v>309</v>
      </c>
      <c r="D1" s="3" t="s">
        <v>9</v>
      </c>
      <c r="E1" s="3" t="s">
        <v>333</v>
      </c>
      <c r="F1" s="3" t="s">
        <v>334</v>
      </c>
    </row>
    <row r="2" spans="1:6">
      <c r="A2" s="2" t="s">
        <v>335</v>
      </c>
      <c r="B2" s="2">
        <v>75</v>
      </c>
      <c r="C2" s="2">
        <v>73</v>
      </c>
      <c r="D2" s="2">
        <v>80</v>
      </c>
      <c r="E2" s="2"/>
      <c r="F2" s="2"/>
    </row>
    <row r="3" spans="1:6">
      <c r="A3" s="2" t="s">
        <v>336</v>
      </c>
      <c r="B3" s="2">
        <v>79</v>
      </c>
      <c r="C3" s="2">
        <v>71</v>
      </c>
      <c r="D3" s="2">
        <v>70</v>
      </c>
      <c r="E3" s="2"/>
      <c r="F3" s="2"/>
    </row>
    <row r="4" spans="1:6">
      <c r="A4" s="2" t="s">
        <v>337</v>
      </c>
      <c r="B4" s="2">
        <v>71</v>
      </c>
      <c r="C4" s="2">
        <v>68</v>
      </c>
      <c r="D4" s="2">
        <v>64</v>
      </c>
      <c r="E4" s="2"/>
      <c r="F4" s="2"/>
    </row>
    <row r="5" spans="1:6">
      <c r="A5" s="2" t="s">
        <v>338</v>
      </c>
      <c r="B5" s="2">
        <v>85</v>
      </c>
      <c r="C5" s="2">
        <v>90</v>
      </c>
      <c r="D5" s="2">
        <v>98</v>
      </c>
      <c r="E5" s="2"/>
      <c r="F5" s="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37</vt:i4>
      </vt:variant>
    </vt:vector>
  </HeadingPairs>
  <TitlesOfParts>
    <vt:vector size="37" baseType="lpstr">
      <vt:lpstr>섹션071</vt:lpstr>
      <vt:lpstr>섹션075</vt:lpstr>
      <vt:lpstr>섹션076-1</vt:lpstr>
      <vt:lpstr>섹션076-2</vt:lpstr>
      <vt:lpstr>섹션076-3</vt:lpstr>
      <vt:lpstr>섹션076-4</vt:lpstr>
      <vt:lpstr>섹션077-1</vt:lpstr>
      <vt:lpstr>섹션077-2</vt:lpstr>
      <vt:lpstr>섹션079</vt:lpstr>
      <vt:lpstr>섹션080-1</vt:lpstr>
      <vt:lpstr>섹션080-2</vt:lpstr>
      <vt:lpstr>섹션081</vt:lpstr>
      <vt:lpstr>섹션082-1</vt:lpstr>
      <vt:lpstr>섹션082-2</vt:lpstr>
      <vt:lpstr>섹션082-3</vt:lpstr>
      <vt:lpstr>섹션082-4</vt:lpstr>
      <vt:lpstr>섹션083</vt:lpstr>
      <vt:lpstr>섹션085-1</vt:lpstr>
      <vt:lpstr>섹션085-2</vt:lpstr>
      <vt:lpstr>섹션086</vt:lpstr>
      <vt:lpstr>섹션087</vt:lpstr>
      <vt:lpstr>섹션088</vt:lpstr>
      <vt:lpstr>섹션089-1</vt:lpstr>
      <vt:lpstr>섹션089-2</vt:lpstr>
      <vt:lpstr>섹션091</vt:lpstr>
      <vt:lpstr>섹션092</vt:lpstr>
      <vt:lpstr>섹션093-1</vt:lpstr>
      <vt:lpstr>섹션093-2</vt:lpstr>
      <vt:lpstr>섹션094</vt:lpstr>
      <vt:lpstr>섹션095</vt:lpstr>
      <vt:lpstr>섹션096-1</vt:lpstr>
      <vt:lpstr>섹션096-2</vt:lpstr>
      <vt:lpstr>섹션097</vt:lpstr>
      <vt:lpstr>섹션098</vt:lpstr>
      <vt:lpstr>섹션099</vt:lpstr>
      <vt:lpstr>섹션100</vt:lpstr>
      <vt:lpstr>섹션101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용갑 김</cp:lastModifiedBy>
  <dcterms:created xsi:type="dcterms:W3CDTF">2024-03-14T05:29:11Z</dcterms:created>
  <dcterms:modified xsi:type="dcterms:W3CDTF">2024-07-16T06:22:27Z</dcterms:modified>
</cp:coreProperties>
</file>