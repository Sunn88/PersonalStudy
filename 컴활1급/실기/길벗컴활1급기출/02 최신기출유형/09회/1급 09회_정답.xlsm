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9회\"/>
    </mc:Choice>
  </mc:AlternateContent>
  <xr:revisionPtr revIDLastSave="0" documentId="13_ncr:1_{0F0F44FE-2D10-485F-B58F-D53871267D41}" xr6:coauthVersionLast="47" xr6:coauthVersionMax="47" xr10:uidLastSave="{00000000-0000-0000-0000-000000000000}"/>
  <bookViews>
    <workbookView xWindow="28680" yWindow="-120" windowWidth="29040" windowHeight="17640" activeTab="2" xr2:uid="{812066B2-97CF-4D81-BA16-AB7A7A7E7780}"/>
  </bookViews>
  <sheets>
    <sheet name="기본작업" sheetId="3" r:id="rId1"/>
    <sheet name="계산작업" sheetId="1" r:id="rId2"/>
    <sheet name="분석작업-1" sheetId="4" r:id="rId3"/>
    <sheet name="온라인" sheetId="10" r:id="rId4"/>
    <sheet name="오프라인" sheetId="9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기본작업!$A$2:$G$26</definedName>
    <definedName name="_xlnm.Criteria" localSheetId="0">기본작업!$A$28:$A$29</definedName>
    <definedName name="_xlnm.Extract" localSheetId="0">기본작업!$A$31:$E$31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9" i="5" s="1"/>
  <c r="D3" i="5"/>
  <c r="D9" i="5" s="1"/>
  <c r="D4" i="5"/>
  <c r="D5" i="5"/>
  <c r="C6" i="5"/>
  <c r="C7" i="5"/>
  <c r="C8" i="5"/>
  <c r="D6" i="5"/>
  <c r="D7" i="5"/>
  <c r="D8" i="5"/>
  <c r="C10" i="5"/>
  <c r="C17" i="5" s="1"/>
  <c r="C11" i="5"/>
  <c r="C12" i="5"/>
  <c r="C13" i="5"/>
  <c r="D10" i="5"/>
  <c r="D17" i="5" s="1"/>
  <c r="D11" i="5"/>
  <c r="D12" i="5"/>
  <c r="D13" i="5"/>
  <c r="C14" i="5"/>
  <c r="C15" i="5"/>
  <c r="C16" i="5"/>
  <c r="D14" i="5"/>
  <c r="D15" i="5"/>
  <c r="D16" i="5"/>
  <c r="C18" i="5"/>
  <c r="C19" i="5"/>
  <c r="C24" i="5" s="1"/>
  <c r="C20" i="5"/>
  <c r="D18" i="5"/>
  <c r="D19" i="5"/>
  <c r="D20" i="5"/>
  <c r="C21" i="5"/>
  <c r="C22" i="5"/>
  <c r="C23" i="5"/>
  <c r="D21" i="5"/>
  <c r="D22" i="5"/>
  <c r="D23" i="5"/>
  <c r="D24" i="5"/>
  <c r="C25" i="5"/>
  <c r="C26" i="5"/>
  <c r="D25" i="5"/>
  <c r="D26" i="5"/>
  <c r="C27" i="5"/>
  <c r="C28" i="5"/>
  <c r="C29" i="5"/>
  <c r="D27" i="5"/>
  <c r="D28" i="5"/>
  <c r="D29" i="5"/>
  <c r="C30" i="5"/>
  <c r="D30" i="5"/>
  <c r="I35" i="1" a="1"/>
  <c r="I35" i="1" s="1"/>
  <c r="J32" i="1" a="1"/>
  <c r="J32" i="1" s="1"/>
  <c r="J31" i="1" a="1"/>
  <c r="J31" i="1" s="1"/>
  <c r="C32" i="1" a="1"/>
  <c r="C32" i="1" s="1"/>
  <c r="D32" i="1" a="1"/>
  <c r="D32" i="1"/>
  <c r="E32" i="1" a="1"/>
  <c r="E32" i="1" s="1"/>
  <c r="F32" i="1" a="1"/>
  <c r="F32" i="1"/>
  <c r="C33" i="1" a="1"/>
  <c r="C33" i="1" s="1"/>
  <c r="D33" i="1" a="1"/>
  <c r="D33" i="1"/>
  <c r="E33" i="1" a="1"/>
  <c r="E33" i="1" s="1"/>
  <c r="F33" i="1" a="1"/>
  <c r="F33" i="1"/>
  <c r="C34" i="1" a="1"/>
  <c r="C34" i="1" s="1"/>
  <c r="D34" i="1" a="1"/>
  <c r="D34" i="1"/>
  <c r="E34" i="1" a="1"/>
  <c r="E34" i="1" s="1"/>
  <c r="F34" i="1" a="1"/>
  <c r="F34" i="1"/>
  <c r="F31" i="1" a="1"/>
  <c r="F31" i="1" s="1"/>
  <c r="E31" i="1" a="1"/>
  <c r="E31" i="1" s="1"/>
  <c r="D31" i="1" a="1"/>
  <c r="D31" i="1" s="1"/>
  <c r="C31" i="1" a="1"/>
  <c r="C31" i="1" s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4" i="1"/>
  <c r="A29" i="3"/>
  <c r="J11" i="1" a="1"/>
  <c r="J19" i="1" a="1"/>
  <c r="J27" i="1" a="1"/>
  <c r="J12" i="1" a="1"/>
  <c r="J20" i="1" a="1"/>
  <c r="J4" i="1" a="1"/>
  <c r="J13" i="1" a="1"/>
  <c r="J21" i="1" a="1"/>
  <c r="J6" i="1" a="1"/>
  <c r="J14" i="1" a="1"/>
  <c r="J22" i="1" a="1"/>
  <c r="J15" i="1" a="1"/>
  <c r="J23" i="1" a="1"/>
  <c r="J8" i="1" a="1"/>
  <c r="J16" i="1" a="1"/>
  <c r="J24" i="1" a="1"/>
  <c r="J5" i="1" a="1"/>
  <c r="J7" i="1" a="1"/>
  <c r="J9" i="1" a="1"/>
  <c r="J17" i="1" a="1"/>
  <c r="J25" i="1" a="1"/>
  <c r="J10" i="1" a="1"/>
  <c r="J18" i="1" a="1"/>
  <c r="J26" i="1" a="1"/>
  <c r="J26" i="1" l="1"/>
  <c r="J24" i="1"/>
  <c r="J22" i="1"/>
  <c r="J20" i="1"/>
  <c r="J18" i="1"/>
  <c r="J16" i="1"/>
  <c r="J14" i="1"/>
  <c r="J12" i="1"/>
  <c r="J10" i="1"/>
  <c r="J8" i="1"/>
  <c r="J6" i="1"/>
  <c r="J27" i="1"/>
  <c r="J25" i="1"/>
  <c r="J23" i="1"/>
  <c r="J21" i="1"/>
  <c r="J19" i="1"/>
  <c r="J17" i="1"/>
  <c r="J15" i="1"/>
  <c r="J13" i="1"/>
  <c r="J11" i="1"/>
  <c r="J9" i="1"/>
  <c r="J7" i="1"/>
  <c r="J5" i="1"/>
  <c r="J4" i="1"/>
  <c r="G3" i="8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2F08F9-AF34-49E6-8C21-5CF01EFCB291}" sourceFile="C:\길벗컴활1급기출\02 최신기출유형\09회\도서판매.accdb" keepAlive="1" name="도서판매" type="5" refreshedVersion="7" background="1">
    <dbPr connection="Provider=Microsoft.ACE.OLEDB.12.0;User ID=Admin;Data Source=C:\길벗컴활1급기출\02 최신기출유형\09회\도서판매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상반기판매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<sst xmlns="http://schemas.openxmlformats.org/spreadsheetml/2006/main" count="368" uniqueCount="78">
  <si>
    <t>판매일</t>
  </si>
  <si>
    <t>고객코드</t>
  </si>
  <si>
    <t>분류</t>
  </si>
  <si>
    <t>도서번호</t>
  </si>
  <si>
    <t>수량</t>
  </si>
  <si>
    <t>정가</t>
  </si>
  <si>
    <t>판매금액</t>
  </si>
  <si>
    <t>I001</t>
  </si>
  <si>
    <t>컴퓨터</t>
  </si>
  <si>
    <t>C10-519</t>
  </si>
  <si>
    <t>I005</t>
  </si>
  <si>
    <t>취미/레저</t>
  </si>
  <si>
    <t>G10-455</t>
  </si>
  <si>
    <t>I006</t>
  </si>
  <si>
    <t>사회과학</t>
  </si>
  <si>
    <t>S10-152</t>
  </si>
  <si>
    <t>S30-541</t>
  </si>
  <si>
    <t>C10-510</t>
  </si>
  <si>
    <t>I007</t>
  </si>
  <si>
    <t>S30-414</t>
  </si>
  <si>
    <t>소설</t>
  </si>
  <si>
    <t>J10-354</t>
  </si>
  <si>
    <t>I008</t>
  </si>
  <si>
    <t>G40-552</t>
  </si>
  <si>
    <t>I009</t>
  </si>
  <si>
    <t>C10-652</t>
  </si>
  <si>
    <t>I010</t>
  </si>
  <si>
    <t>J30-574</t>
  </si>
  <si>
    <t>I025</t>
  </si>
  <si>
    <t>G20-512</t>
  </si>
  <si>
    <t>I046</t>
  </si>
  <si>
    <t>J10-415</t>
  </si>
  <si>
    <t>O003</t>
  </si>
  <si>
    <t>G10-152</t>
  </si>
  <si>
    <t>O009</t>
  </si>
  <si>
    <t>C10-120</t>
  </si>
  <si>
    <t>O015</t>
  </si>
  <si>
    <t>J20-541</t>
  </si>
  <si>
    <t>S10-412</t>
  </si>
  <si>
    <t>O020</t>
  </si>
  <si>
    <t>G30-411</t>
  </si>
  <si>
    <t>O025</t>
  </si>
  <si>
    <t>J10-441</t>
  </si>
  <si>
    <t>C30-551</t>
  </si>
  <si>
    <t>O028</t>
  </si>
  <si>
    <t>G30-474</t>
  </si>
  <si>
    <t>O050</t>
  </si>
  <si>
    <t>C20-250</t>
  </si>
  <si>
    <t>J10-250</t>
  </si>
  <si>
    <t>O051</t>
  </si>
  <si>
    <t>[표1]</t>
  </si>
  <si>
    <t>마지막 할인날</t>
  </si>
  <si>
    <t>반품가능일</t>
  </si>
  <si>
    <t>금액</t>
  </si>
  <si>
    <t>할인액</t>
  </si>
  <si>
    <t>[표2]</t>
  </si>
  <si>
    <t>[표3]</t>
  </si>
  <si>
    <t>판매월</t>
  </si>
  <si>
    <t>구분</t>
  </si>
  <si>
    <t>최고 정가</t>
  </si>
  <si>
    <t>I</t>
  </si>
  <si>
    <t>온라인</t>
  </si>
  <si>
    <t>O</t>
  </si>
  <si>
    <t>오프라인</t>
  </si>
  <si>
    <t>[표4]</t>
  </si>
  <si>
    <t>조건</t>
    <phoneticPr fontId="1" type="noConversion"/>
  </si>
  <si>
    <t>판매일</t>
    <phoneticPr fontId="1" type="noConversion"/>
  </si>
  <si>
    <t>분류</t>
    <phoneticPr fontId="1" type="noConversion"/>
  </si>
  <si>
    <t>도서번호</t>
    <phoneticPr fontId="1" type="noConversion"/>
  </si>
  <si>
    <t>수량</t>
    <phoneticPr fontId="1" type="noConversion"/>
  </si>
  <si>
    <t>판매금액</t>
    <phoneticPr fontId="1" type="noConversion"/>
  </si>
  <si>
    <t>총합계</t>
  </si>
  <si>
    <t>합계 : 수량</t>
  </si>
  <si>
    <t>합계 : 금액</t>
  </si>
  <si>
    <t>고객코드2</t>
  </si>
  <si>
    <t>온라인 요약</t>
  </si>
  <si>
    <t>오프라인 요약</t>
  </si>
  <si>
    <t>1급 09회_정답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</si>
</sst>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@&quot;님&quot;"/>
    <numFmt numFmtId="177" formatCode="[Red][&gt;=50000]#,##0&quot;원 [10%할인]&quot;;[&gt;=10000]#,##0&quot;원 [5%할인]&quot;;#,##0&quot;원 [할인안됨]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2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분류별 수량과 판매금액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판매금액</c:v>
                </c:pt>
              </c:strCache>
            </c:strRef>
          </c:tx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사회과학</c:v>
                </c:pt>
                <c:pt idx="1">
                  <c:v>소설</c:v>
                </c:pt>
                <c:pt idx="2">
                  <c:v>취미/레저</c:v>
                </c:pt>
                <c:pt idx="3">
                  <c:v>컴퓨터</c:v>
                </c:pt>
              </c:strCache>
            </c:strRef>
          </c:cat>
          <c:val>
            <c:numRef>
              <c:f>'기타작업-1'!$D$4:$D$7</c:f>
              <c:numCache>
                <c:formatCode>_(* #,##0_);_(* \(#,##0\);_(* "-"_);_(@_)</c:formatCode>
                <c:ptCount val="4"/>
                <c:pt idx="0">
                  <c:v>327690</c:v>
                </c:pt>
                <c:pt idx="1">
                  <c:v>533180</c:v>
                </c:pt>
                <c:pt idx="2">
                  <c:v>226535</c:v>
                </c:pt>
                <c:pt idx="3">
                  <c:v>411540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0E-44E6-A10F-60FF752A9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167935"/>
        <c:axId val="2035993999"/>
      </c:barChart>
      <c:lineChart>
        <c:grouping val="standard"/>
        <c:varyColors val="0"/>
        <c:ser>
          <c:idx val="0"/>
          <c:order val="0"/>
          <c:tx>
            <c:v>판매수량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'기타작업-1'!$B$4:$B$7</c:f>
              <c:strCache>
                <c:ptCount val="4"/>
                <c:pt idx="0">
                  <c:v>사회과학</c:v>
                </c:pt>
                <c:pt idx="1">
                  <c:v>소설</c:v>
                </c:pt>
                <c:pt idx="2">
                  <c:v>취미/레저</c:v>
                </c:pt>
                <c:pt idx="3">
                  <c:v>컴퓨터</c:v>
                </c:pt>
              </c:strCache>
            </c:strRef>
          </c:cat>
          <c:val>
            <c:numRef>
              <c:f>'기타작업-1'!$C$4:$C$7</c:f>
              <c:numCache>
                <c:formatCode>General</c:formatCode>
                <c:ptCount val="4"/>
                <c:pt idx="0">
                  <c:v>21</c:v>
                </c:pt>
                <c:pt idx="1">
                  <c:v>37</c:v>
                </c:pt>
                <c:pt idx="2">
                  <c:v>22</c:v>
                </c:pt>
                <c:pt idx="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E-44E6-A10F-60FF752A9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859744"/>
        <c:axId val="612862656"/>
      </c:lineChart>
      <c:catAx>
        <c:axId val="203116793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분류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5993999"/>
        <c:crosses val="autoZero"/>
        <c:auto val="1"/>
        <c:lblAlgn val="ctr"/>
        <c:lblOffset val="100"/>
        <c:noMultiLvlLbl val="0"/>
      </c:catAx>
      <c:valAx>
        <c:axId val="203599399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1167935"/>
        <c:crosses val="autoZero"/>
        <c:crossBetween val="between"/>
      </c:valAx>
      <c:valAx>
        <c:axId val="612862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2859744"/>
        <c:crosses val="max"/>
        <c:crossBetween val="between"/>
      </c:valAx>
      <c:catAx>
        <c:axId val="612859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2862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8</xdr:row>
      <xdr:rowOff>0</xdr:rowOff>
    </xdr:from>
    <xdr:to>
      <xdr:col>8</xdr:col>
      <xdr:colOff>685799</xdr:colOff>
      <xdr:row>25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존칭표시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할인표시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69" name="cmd판매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54.811855671294" backgroundQuery="1" createdVersion="7" refreshedVersion="7" minRefreshableVersion="3" recordCount="24" xr:uid="{F52316D1-165C-498F-ACB3-C21E7EFF5613}">
  <cacheSource type="external" connectionId="1"/>
  <cacheFields count="10">
    <cacheField name="분류" numFmtId="0">
      <sharedItems count="4">
        <s v="컴퓨터"/>
        <s v="소설"/>
        <s v="취미/레저"/>
        <s v="사회과학"/>
      </sharedItems>
    </cacheField>
    <cacheField name="고객코드" numFmtId="0">
      <sharedItems count="17">
        <s v="I001"/>
        <s v="O050"/>
        <s v="O051"/>
        <s v="I006"/>
        <s v="O009"/>
        <s v="I025"/>
        <s v="I007"/>
        <s v="I010"/>
        <s v="O003"/>
        <s v="O028"/>
        <s v="I046"/>
        <s v="O015"/>
        <s v="I005"/>
        <s v="O020"/>
        <s v="I009"/>
        <s v="I008"/>
        <s v="O025"/>
      </sharedItems>
      <fieldGroup par="9"/>
    </cacheField>
    <cacheField name="도서번호" numFmtId="0">
      <sharedItems count="23">
        <s v="C10-519"/>
        <s v="J10-250"/>
        <s v="G10-454"/>
        <s v="S10-152"/>
        <s v="C20-250"/>
        <s v="C10-120"/>
        <s v="G20-512"/>
        <s v="J10-354"/>
        <s v="J30-574"/>
        <s v="G10-152"/>
        <s v="G30-474"/>
        <s v="J10-415"/>
        <s v="S30-541"/>
        <s v="C10-514"/>
        <s v="S30-414"/>
        <s v="S10-412"/>
        <s v="G10-455"/>
        <s v="J20-541"/>
        <s v="C10-654"/>
        <s v="G40-552"/>
        <s v="G30-411"/>
        <s v="J10-441"/>
        <s v="C30-551"/>
      </sharedItems>
    </cacheField>
    <cacheField name="판매일" numFmtId="0">
      <sharedItems containsSemiMixedTypes="0" containsNonDate="0" containsDate="1" containsString="0" minDate="2004-02-15T00:00:00" maxDate="2020-05-22T00:00:00" count="22">
        <d v="2020-01-01T00:00:00"/>
        <d v="2020-03-05T00:00:00"/>
        <d v="2020-04-14T00:00:00"/>
        <d v="2020-02-15T00:00:00"/>
        <d v="2020-02-03T00:00:00"/>
        <d v="2020-01-26T00:00:00"/>
        <d v="2020-03-02T00:00:00"/>
        <d v="2020-04-05T00:00:00"/>
        <d v="2020-03-23T00:00:00"/>
        <d v="2020-01-12T00:00:00"/>
        <d v="2020-03-06T00:00:00"/>
        <d v="2020-05-21T00:00:00"/>
        <d v="2020-03-15T00:00:00"/>
        <d v="2020-04-15T00:00:00"/>
        <d v="2020-02-05T00:00:00"/>
        <d v="2020-03-22T00:00:00"/>
        <d v="2020-01-22T00:00:00"/>
        <d v="2004-02-15T00:00:00"/>
        <d v="2020-04-12T00:00:00"/>
        <d v="2020-03-17T00:00:00"/>
        <d v="2020-03-27T00:00:00"/>
        <d v="2020-04-20T00:00:00"/>
      </sharedItems>
    </cacheField>
    <cacheField name="반품가능일" numFmtId="0">
      <sharedItems containsSemiMixedTypes="0" containsNonDate="0" containsDate="1" containsString="0" minDate="2020-01-08T00:00:00" maxDate="2020-05-29T00:00:00" count="21">
        <d v="2020-01-08T00:00:00"/>
        <d v="2020-03-12T00:00:00"/>
        <d v="2020-04-21T00:00:00"/>
        <d v="2020-02-21T00:00:00"/>
        <d v="2020-02-10T00:00:00"/>
        <d v="2020-01-31T00:00:00"/>
        <d v="2020-03-07T00:00:00"/>
        <d v="2020-04-11T00:00:00"/>
        <d v="2020-03-28T00:00:00"/>
        <d v="2020-01-17T00:00:00"/>
        <d v="2020-03-13T00:00:00"/>
        <d v="2020-05-28T00:00:00"/>
        <d v="2020-03-21T00:00:00"/>
        <d v="2020-04-22T00:00:00"/>
        <d v="2020-02-12T00:00:00"/>
        <d v="2020-01-29T00:00:00"/>
        <d v="2020-02-20T00:00:00"/>
        <d v="2020-04-18T00:00:00"/>
        <d v="2020-03-24T00:00:00"/>
        <d v="2020-04-03T00:00:00"/>
        <d v="2020-04-25T00:00:00"/>
      </sharedItems>
    </cacheField>
    <cacheField name="수량" numFmtId="0">
      <sharedItems containsSemiMixedTypes="0" containsString="0" containsNumber="1" containsInteger="1" minValue="1" maxValue="12" count="11">
        <n v="10"/>
        <n v="5"/>
        <n v="7"/>
        <n v="3"/>
        <n v="8"/>
        <n v="2"/>
        <n v="1"/>
        <n v="4"/>
        <n v="12"/>
        <n v="6"/>
        <n v="9"/>
      </sharedItems>
    </cacheField>
    <cacheField name="정가" numFmtId="0">
      <sharedItems containsSemiMixedTypes="0" containsString="0" containsNumber="1" containsInteger="1" minValue="2000" maxValue="22000" count="12">
        <n v="19800"/>
        <n v="12000"/>
        <n v="9900"/>
        <n v="15000"/>
        <n v="17000"/>
        <n v="11000"/>
        <n v="22000"/>
        <n v="17600"/>
        <n v="8800"/>
        <n v="2000"/>
        <n v="10000"/>
        <n v="7000"/>
      </sharedItems>
    </cacheField>
    <cacheField name="금액" numFmtId="0">
      <sharedItems containsSemiMixedTypes="0" containsString="0" containsNumber="1" containsInteger="1" minValue="8800" maxValue="264000" count="23">
        <n v="198000"/>
        <n v="99000"/>
        <n v="84000"/>
        <n v="29700"/>
        <n v="79200"/>
        <n v="30000"/>
        <n v="36000"/>
        <n v="19800"/>
        <n v="68000"/>
        <n v="49500"/>
        <n v="44000"/>
        <n v="264000"/>
        <n v="118800"/>
        <n v="39600"/>
        <n v="158400"/>
        <n v="11000"/>
        <n v="61600"/>
        <n v="17600"/>
        <n v="12000"/>
        <n v="10000"/>
        <n v="8800"/>
        <n v="56000"/>
        <n v="15000"/>
      </sharedItems>
    </cacheField>
    <cacheField name="할인금액" numFmtId="0">
      <sharedItems containsSemiMixedTypes="0" containsString="0" containsNumber="1" containsInteger="1" minValue="8360" maxValue="250800" count="23">
        <n v="188100"/>
        <n v="94050"/>
        <n v="79800"/>
        <n v="26730"/>
        <n v="75240"/>
        <n v="28500"/>
        <n v="30600"/>
        <n v="18810"/>
        <n v="57800"/>
        <n v="47025"/>
        <n v="41800"/>
        <n v="250800"/>
        <n v="106920"/>
        <n v="35640"/>
        <n v="142560"/>
        <n v="10450"/>
        <n v="58520"/>
        <n v="15840"/>
        <n v="11400"/>
        <n v="8500"/>
        <n v="8360"/>
        <n v="53200"/>
        <n v="14250"/>
      </sharedItems>
    </cacheField>
    <cacheField name="고객코드2" numFmtId="0" databaseField="0">
      <fieldGroup base="1">
        <discretePr count="17">
          <x v="0"/>
          <x v="1"/>
          <x v="1"/>
          <x v="0"/>
          <x v="1"/>
          <x v="0"/>
          <x v="0"/>
          <x v="0"/>
          <x v="1"/>
          <x v="1"/>
          <x v="0"/>
          <x v="1"/>
          <x v="0"/>
          <x v="1"/>
          <x v="0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x v="0"/>
    <x v="0"/>
    <x v="0"/>
    <x v="0"/>
    <x v="0"/>
    <x v="0"/>
  </r>
  <r>
    <x v="1"/>
    <x v="1"/>
    <x v="1"/>
    <x v="1"/>
    <x v="1"/>
    <x v="1"/>
    <x v="0"/>
    <x v="1"/>
    <x v="1"/>
  </r>
  <r>
    <x v="2"/>
    <x v="2"/>
    <x v="2"/>
    <x v="2"/>
    <x v="2"/>
    <x v="2"/>
    <x v="1"/>
    <x v="2"/>
    <x v="2"/>
  </r>
  <r>
    <x v="3"/>
    <x v="3"/>
    <x v="3"/>
    <x v="3"/>
    <x v="3"/>
    <x v="3"/>
    <x v="2"/>
    <x v="3"/>
    <x v="3"/>
  </r>
  <r>
    <x v="0"/>
    <x v="1"/>
    <x v="4"/>
    <x v="4"/>
    <x v="4"/>
    <x v="4"/>
    <x v="2"/>
    <x v="4"/>
    <x v="4"/>
  </r>
  <r>
    <x v="0"/>
    <x v="4"/>
    <x v="5"/>
    <x v="5"/>
    <x v="5"/>
    <x v="5"/>
    <x v="3"/>
    <x v="5"/>
    <x v="5"/>
  </r>
  <r>
    <x v="2"/>
    <x v="5"/>
    <x v="6"/>
    <x v="6"/>
    <x v="6"/>
    <x v="3"/>
    <x v="1"/>
    <x v="6"/>
    <x v="6"/>
  </r>
  <r>
    <x v="1"/>
    <x v="6"/>
    <x v="7"/>
    <x v="7"/>
    <x v="7"/>
    <x v="6"/>
    <x v="0"/>
    <x v="7"/>
    <x v="7"/>
  </r>
  <r>
    <x v="1"/>
    <x v="7"/>
    <x v="8"/>
    <x v="8"/>
    <x v="8"/>
    <x v="7"/>
    <x v="4"/>
    <x v="8"/>
    <x v="8"/>
  </r>
  <r>
    <x v="2"/>
    <x v="8"/>
    <x v="9"/>
    <x v="9"/>
    <x v="9"/>
    <x v="1"/>
    <x v="2"/>
    <x v="9"/>
    <x v="9"/>
  </r>
  <r>
    <x v="2"/>
    <x v="9"/>
    <x v="10"/>
    <x v="10"/>
    <x v="10"/>
    <x v="7"/>
    <x v="5"/>
    <x v="10"/>
    <x v="10"/>
  </r>
  <r>
    <x v="1"/>
    <x v="10"/>
    <x v="11"/>
    <x v="11"/>
    <x v="11"/>
    <x v="8"/>
    <x v="6"/>
    <x v="11"/>
    <x v="11"/>
  </r>
  <r>
    <x v="3"/>
    <x v="3"/>
    <x v="12"/>
    <x v="12"/>
    <x v="12"/>
    <x v="9"/>
    <x v="0"/>
    <x v="12"/>
    <x v="12"/>
  </r>
  <r>
    <x v="0"/>
    <x v="3"/>
    <x v="13"/>
    <x v="13"/>
    <x v="13"/>
    <x v="0"/>
    <x v="2"/>
    <x v="1"/>
    <x v="1"/>
  </r>
  <r>
    <x v="3"/>
    <x v="6"/>
    <x v="14"/>
    <x v="14"/>
    <x v="14"/>
    <x v="5"/>
    <x v="0"/>
    <x v="13"/>
    <x v="13"/>
  </r>
  <r>
    <x v="3"/>
    <x v="11"/>
    <x v="15"/>
    <x v="15"/>
    <x v="8"/>
    <x v="10"/>
    <x v="7"/>
    <x v="14"/>
    <x v="14"/>
  </r>
  <r>
    <x v="2"/>
    <x v="12"/>
    <x v="16"/>
    <x v="7"/>
    <x v="7"/>
    <x v="6"/>
    <x v="5"/>
    <x v="15"/>
    <x v="15"/>
  </r>
  <r>
    <x v="1"/>
    <x v="11"/>
    <x v="17"/>
    <x v="16"/>
    <x v="15"/>
    <x v="2"/>
    <x v="8"/>
    <x v="16"/>
    <x v="16"/>
  </r>
  <r>
    <x v="3"/>
    <x v="13"/>
    <x v="3"/>
    <x v="17"/>
    <x v="16"/>
    <x v="6"/>
    <x v="7"/>
    <x v="17"/>
    <x v="17"/>
  </r>
  <r>
    <x v="0"/>
    <x v="14"/>
    <x v="18"/>
    <x v="18"/>
    <x v="17"/>
    <x v="9"/>
    <x v="9"/>
    <x v="18"/>
    <x v="18"/>
  </r>
  <r>
    <x v="2"/>
    <x v="15"/>
    <x v="19"/>
    <x v="19"/>
    <x v="18"/>
    <x v="6"/>
    <x v="10"/>
    <x v="19"/>
    <x v="19"/>
  </r>
  <r>
    <x v="2"/>
    <x v="13"/>
    <x v="20"/>
    <x v="20"/>
    <x v="19"/>
    <x v="6"/>
    <x v="8"/>
    <x v="20"/>
    <x v="20"/>
  </r>
  <r>
    <x v="1"/>
    <x v="16"/>
    <x v="21"/>
    <x v="0"/>
    <x v="0"/>
    <x v="4"/>
    <x v="11"/>
    <x v="21"/>
    <x v="21"/>
  </r>
  <r>
    <x v="0"/>
    <x v="16"/>
    <x v="22"/>
    <x v="21"/>
    <x v="20"/>
    <x v="6"/>
    <x v="3"/>
    <x v="22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13C8E-ACBC-4FD2-BA8E-A73C01B1D5C8}" name="피벗 테이블1" cacheId="3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B4:E15" firstHeaderRow="0" firstDataRow="1" firstDataCol="2" rowPageCount="1" colPageCount="1"/>
  <pivotFields count="10">
    <pivotField axis="axisPage" compact="0" subtotalTop="0" showAll="0">
      <items count="5">
        <item x="3"/>
        <item x="1"/>
        <item x="2"/>
        <item x="0"/>
        <item t="default"/>
      </items>
    </pivotField>
    <pivotField axis="axisRow" compact="0" subtotalTop="0" showAll="0">
      <items count="18">
        <item x="0"/>
        <item x="12"/>
        <item x="3"/>
        <item x="6"/>
        <item x="15"/>
        <item x="14"/>
        <item x="7"/>
        <item x="5"/>
        <item x="10"/>
        <item x="8"/>
        <item x="4"/>
        <item x="11"/>
        <item x="13"/>
        <item x="16"/>
        <item x="9"/>
        <item x="1"/>
        <item x="2"/>
        <item t="default"/>
      </items>
    </pivotField>
    <pivotField compact="0" subtotalTop="0" showAll="0"/>
    <pivotField compact="0" subtotalTop="0" showAll="0"/>
    <pivotField compact="0" subtotalTop="0" showAll="0"/>
    <pivotField dataField="1" compact="0" subtotalTop="0" showAll="0"/>
    <pivotField compact="0" subtotalTop="0" showAll="0"/>
    <pivotField dataField="1" compact="0" subtotalTop="0" showAll="0"/>
    <pivotField compact="0" subtotalTop="0" showAll="0"/>
    <pivotField axis="axisRow" compact="0" subtotalTop="0" showAll="0">
      <items count="3">
        <item n="온라인" x="0"/>
        <item n="오프라인" x="1"/>
        <item t="default"/>
      </items>
    </pivotField>
  </pivotFields>
  <rowFields count="2">
    <field x="9"/>
    <field x="1"/>
  </rowFields>
  <rowItems count="11">
    <i>
      <x/>
    </i>
    <i r="1">
      <x v="3"/>
    </i>
    <i r="1">
      <x v="6"/>
    </i>
    <i r="1">
      <x v="8"/>
    </i>
    <i t="default">
      <x/>
    </i>
    <i>
      <x v="1"/>
    </i>
    <i r="1">
      <x v="11"/>
    </i>
    <i r="1">
      <x v="13"/>
    </i>
    <i r="1">
      <x v="15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합계 : 수량" fld="5" baseField="0" baseItem="0"/>
    <dataField name="합계 : 금액" fld="7" baseField="1" baseItem="3" numFmtId="42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2"/>
  <dimension ref="A2:G36"/>
  <sheetViews>
    <sheetView workbookViewId="0">
      <selection activeCell="G25" sqref="G25"/>
    </sheetView>
  </sheetViews>
  <sheetFormatPr defaultRowHeight="16.5" x14ac:dyDescent="0.3"/>
  <cols>
    <col min="1" max="1" width="13.25" bestFit="1" customWidth="1"/>
    <col min="3" max="3" width="9.75" bestFit="1" customWidth="1"/>
    <col min="6" max="6" width="9.125" bestFit="1" customWidth="1"/>
    <col min="7" max="7" width="11.25" bestFit="1" customWidth="1"/>
  </cols>
  <sheetData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43833</v>
      </c>
      <c r="B3" s="1" t="s">
        <v>7</v>
      </c>
      <c r="C3" s="1" t="s">
        <v>8</v>
      </c>
      <c r="D3" s="1" t="s">
        <v>9</v>
      </c>
      <c r="E3" s="1">
        <v>10</v>
      </c>
      <c r="F3" s="3">
        <v>19800</v>
      </c>
      <c r="G3" s="3">
        <v>188100</v>
      </c>
    </row>
    <row r="4" spans="1:7" x14ac:dyDescent="0.3">
      <c r="A4" s="2">
        <v>43926</v>
      </c>
      <c r="B4" s="1" t="s">
        <v>10</v>
      </c>
      <c r="C4" s="1" t="s">
        <v>11</v>
      </c>
      <c r="D4" s="1" t="s">
        <v>12</v>
      </c>
      <c r="E4" s="1">
        <v>1</v>
      </c>
      <c r="F4" s="3">
        <v>11000</v>
      </c>
      <c r="G4" s="3">
        <v>10450</v>
      </c>
    </row>
    <row r="5" spans="1:7" x14ac:dyDescent="0.3">
      <c r="A5" s="2">
        <v>43876</v>
      </c>
      <c r="B5" s="1" t="s">
        <v>13</v>
      </c>
      <c r="C5" s="1" t="s">
        <v>14</v>
      </c>
      <c r="D5" s="1" t="s">
        <v>15</v>
      </c>
      <c r="E5" s="1">
        <v>3</v>
      </c>
      <c r="F5" s="3">
        <v>9900</v>
      </c>
      <c r="G5" s="3">
        <v>26730</v>
      </c>
    </row>
    <row r="6" spans="1:7" x14ac:dyDescent="0.3">
      <c r="A6" s="2">
        <v>43905</v>
      </c>
      <c r="B6" s="1" t="s">
        <v>13</v>
      </c>
      <c r="C6" s="1" t="s">
        <v>14</v>
      </c>
      <c r="D6" s="1" t="s">
        <v>16</v>
      </c>
      <c r="E6" s="1">
        <v>6</v>
      </c>
      <c r="F6" s="3">
        <v>19800</v>
      </c>
      <c r="G6" s="3">
        <v>106920</v>
      </c>
    </row>
    <row r="7" spans="1:7" x14ac:dyDescent="0.3">
      <c r="A7" s="2">
        <v>43936</v>
      </c>
      <c r="B7" s="1" t="s">
        <v>13</v>
      </c>
      <c r="C7" s="1" t="s">
        <v>8</v>
      </c>
      <c r="D7" s="1" t="s">
        <v>17</v>
      </c>
      <c r="E7" s="1">
        <v>10</v>
      </c>
      <c r="F7" s="3">
        <v>9900</v>
      </c>
      <c r="G7" s="3">
        <v>94050</v>
      </c>
    </row>
    <row r="8" spans="1:7" x14ac:dyDescent="0.3">
      <c r="A8" s="2">
        <v>43866</v>
      </c>
      <c r="B8" s="1" t="s">
        <v>18</v>
      </c>
      <c r="C8" s="1" t="s">
        <v>14</v>
      </c>
      <c r="D8" s="1" t="s">
        <v>19</v>
      </c>
      <c r="E8" s="1">
        <v>2</v>
      </c>
      <c r="F8" s="3">
        <v>19800</v>
      </c>
      <c r="G8" s="3">
        <v>35640</v>
      </c>
    </row>
    <row r="9" spans="1:7" x14ac:dyDescent="0.3">
      <c r="A9" s="2">
        <v>43926</v>
      </c>
      <c r="B9" s="1" t="s">
        <v>18</v>
      </c>
      <c r="C9" s="1" t="s">
        <v>20</v>
      </c>
      <c r="D9" s="1" t="s">
        <v>21</v>
      </c>
      <c r="E9" s="1">
        <v>1</v>
      </c>
      <c r="F9" s="3">
        <v>19800</v>
      </c>
      <c r="G9" s="3">
        <v>18810</v>
      </c>
    </row>
    <row r="10" spans="1:7" x14ac:dyDescent="0.3">
      <c r="A10" s="2">
        <v>43907</v>
      </c>
      <c r="B10" s="1" t="s">
        <v>22</v>
      </c>
      <c r="C10" s="1" t="s">
        <v>11</v>
      </c>
      <c r="D10" s="1" t="s">
        <v>23</v>
      </c>
      <c r="E10" s="1">
        <v>1</v>
      </c>
      <c r="F10" s="3">
        <v>10000</v>
      </c>
      <c r="G10" s="3">
        <v>8500</v>
      </c>
    </row>
    <row r="11" spans="1:7" x14ac:dyDescent="0.3">
      <c r="A11" s="2">
        <v>43933</v>
      </c>
      <c r="B11" s="1" t="s">
        <v>24</v>
      </c>
      <c r="C11" s="1" t="s">
        <v>8</v>
      </c>
      <c r="D11" s="1" t="s">
        <v>25</v>
      </c>
      <c r="E11" s="1">
        <v>6</v>
      </c>
      <c r="F11" s="3">
        <v>2000</v>
      </c>
      <c r="G11" s="3">
        <v>11400</v>
      </c>
    </row>
    <row r="12" spans="1:7" x14ac:dyDescent="0.3">
      <c r="A12" s="2">
        <v>43913</v>
      </c>
      <c r="B12" s="1" t="s">
        <v>26</v>
      </c>
      <c r="C12" s="1" t="s">
        <v>20</v>
      </c>
      <c r="D12" s="1" t="s">
        <v>27</v>
      </c>
      <c r="E12" s="1">
        <v>4</v>
      </c>
      <c r="F12" s="3">
        <v>17000</v>
      </c>
      <c r="G12" s="3">
        <v>57800</v>
      </c>
    </row>
    <row r="13" spans="1:7" x14ac:dyDescent="0.3">
      <c r="A13" s="2">
        <v>43892</v>
      </c>
      <c r="B13" s="1" t="s">
        <v>28</v>
      </c>
      <c r="C13" s="1" t="s">
        <v>11</v>
      </c>
      <c r="D13" s="1" t="s">
        <v>29</v>
      </c>
      <c r="E13" s="1">
        <v>3</v>
      </c>
      <c r="F13" s="3">
        <v>12000</v>
      </c>
      <c r="G13" s="3">
        <v>30600</v>
      </c>
    </row>
    <row r="14" spans="1:7" x14ac:dyDescent="0.3">
      <c r="A14" s="2">
        <v>43972</v>
      </c>
      <c r="B14" s="1" t="s">
        <v>30</v>
      </c>
      <c r="C14" s="1" t="s">
        <v>20</v>
      </c>
      <c r="D14" s="1" t="s">
        <v>31</v>
      </c>
      <c r="E14" s="1">
        <v>12</v>
      </c>
      <c r="F14" s="3">
        <v>22000</v>
      </c>
      <c r="G14" s="3">
        <v>250800</v>
      </c>
    </row>
    <row r="15" spans="1:7" x14ac:dyDescent="0.3">
      <c r="A15" s="2">
        <v>43842</v>
      </c>
      <c r="B15" s="1" t="s">
        <v>32</v>
      </c>
      <c r="C15" s="1" t="s">
        <v>11</v>
      </c>
      <c r="D15" s="1" t="s">
        <v>33</v>
      </c>
      <c r="E15" s="1">
        <v>5</v>
      </c>
      <c r="F15" s="3">
        <v>9900</v>
      </c>
      <c r="G15" s="3">
        <v>47025</v>
      </c>
    </row>
    <row r="16" spans="1:7" x14ac:dyDescent="0.3">
      <c r="A16" s="2">
        <v>43856</v>
      </c>
      <c r="B16" s="1" t="s">
        <v>34</v>
      </c>
      <c r="C16" s="1" t="s">
        <v>8</v>
      </c>
      <c r="D16" s="1" t="s">
        <v>35</v>
      </c>
      <c r="E16" s="1">
        <v>2</v>
      </c>
      <c r="F16" s="3">
        <v>15000</v>
      </c>
      <c r="G16" s="3">
        <v>28500</v>
      </c>
    </row>
    <row r="17" spans="1:7" x14ac:dyDescent="0.3">
      <c r="A17" s="2">
        <v>43852</v>
      </c>
      <c r="B17" s="1" t="s">
        <v>36</v>
      </c>
      <c r="C17" s="1" t="s">
        <v>20</v>
      </c>
      <c r="D17" s="1" t="s">
        <v>37</v>
      </c>
      <c r="E17" s="1">
        <v>7</v>
      </c>
      <c r="F17" s="3">
        <v>8800</v>
      </c>
      <c r="G17" s="3">
        <v>58520</v>
      </c>
    </row>
    <row r="18" spans="1:7" x14ac:dyDescent="0.3">
      <c r="A18" s="2">
        <v>43912</v>
      </c>
      <c r="B18" s="1" t="s">
        <v>36</v>
      </c>
      <c r="C18" s="1" t="s">
        <v>14</v>
      </c>
      <c r="D18" s="1" t="s">
        <v>38</v>
      </c>
      <c r="E18" s="1">
        <v>9</v>
      </c>
      <c r="F18" s="3">
        <v>17600</v>
      </c>
      <c r="G18" s="3">
        <v>142560</v>
      </c>
    </row>
    <row r="19" spans="1:7" x14ac:dyDescent="0.3">
      <c r="A19" s="2">
        <v>43876</v>
      </c>
      <c r="B19" s="1" t="s">
        <v>39</v>
      </c>
      <c r="C19" s="1" t="s">
        <v>14</v>
      </c>
      <c r="D19" s="1" t="s">
        <v>15</v>
      </c>
      <c r="E19" s="1">
        <v>1</v>
      </c>
      <c r="F19" s="3">
        <v>17600</v>
      </c>
      <c r="G19" s="3">
        <v>15840</v>
      </c>
    </row>
    <row r="20" spans="1:7" x14ac:dyDescent="0.3">
      <c r="A20" s="2">
        <v>43917</v>
      </c>
      <c r="B20" s="1" t="s">
        <v>39</v>
      </c>
      <c r="C20" s="1" t="s">
        <v>11</v>
      </c>
      <c r="D20" s="1" t="s">
        <v>40</v>
      </c>
      <c r="E20" s="1">
        <v>1</v>
      </c>
      <c r="F20" s="3">
        <v>8800</v>
      </c>
      <c r="G20" s="3">
        <v>8360</v>
      </c>
    </row>
    <row r="21" spans="1:7" x14ac:dyDescent="0.3">
      <c r="A21" s="2">
        <v>43831</v>
      </c>
      <c r="B21" s="1" t="s">
        <v>41</v>
      </c>
      <c r="C21" s="1" t="s">
        <v>20</v>
      </c>
      <c r="D21" s="1" t="s">
        <v>42</v>
      </c>
      <c r="E21" s="1">
        <v>8</v>
      </c>
      <c r="F21" s="3">
        <v>7000</v>
      </c>
      <c r="G21" s="3">
        <v>53200</v>
      </c>
    </row>
    <row r="22" spans="1:7" x14ac:dyDescent="0.3">
      <c r="A22" s="2">
        <v>43941</v>
      </c>
      <c r="B22" s="1" t="s">
        <v>41</v>
      </c>
      <c r="C22" s="1" t="s">
        <v>8</v>
      </c>
      <c r="D22" s="1" t="s">
        <v>43</v>
      </c>
      <c r="E22" s="1">
        <v>1</v>
      </c>
      <c r="F22" s="3">
        <v>15000</v>
      </c>
      <c r="G22" s="3">
        <v>14250</v>
      </c>
    </row>
    <row r="23" spans="1:7" x14ac:dyDescent="0.3">
      <c r="A23" s="2">
        <v>43896</v>
      </c>
      <c r="B23" s="1" t="s">
        <v>44</v>
      </c>
      <c r="C23" s="1" t="s">
        <v>11</v>
      </c>
      <c r="D23" s="1" t="s">
        <v>45</v>
      </c>
      <c r="E23" s="1">
        <v>4</v>
      </c>
      <c r="F23" s="3">
        <v>11000</v>
      </c>
      <c r="G23" s="3">
        <v>41800</v>
      </c>
    </row>
    <row r="24" spans="1:7" x14ac:dyDescent="0.3">
      <c r="A24" s="2">
        <v>43864</v>
      </c>
      <c r="B24" s="1" t="s">
        <v>46</v>
      </c>
      <c r="C24" s="1" t="s">
        <v>8</v>
      </c>
      <c r="D24" s="1" t="s">
        <v>47</v>
      </c>
      <c r="E24" s="1">
        <v>8</v>
      </c>
      <c r="F24" s="3">
        <v>9900</v>
      </c>
      <c r="G24" s="3">
        <v>75240</v>
      </c>
    </row>
    <row r="25" spans="1:7" x14ac:dyDescent="0.3">
      <c r="A25" s="2">
        <v>43895</v>
      </c>
      <c r="B25" s="1" t="s">
        <v>46</v>
      </c>
      <c r="C25" s="1" t="s">
        <v>20</v>
      </c>
      <c r="D25" s="1" t="s">
        <v>48</v>
      </c>
      <c r="E25" s="1">
        <v>5</v>
      </c>
      <c r="F25" s="3">
        <v>19800</v>
      </c>
      <c r="G25" s="3">
        <v>94050</v>
      </c>
    </row>
    <row r="26" spans="1:7" x14ac:dyDescent="0.3">
      <c r="A26" s="2">
        <v>43935</v>
      </c>
      <c r="B26" s="1" t="s">
        <v>49</v>
      </c>
      <c r="C26" s="1" t="s">
        <v>11</v>
      </c>
      <c r="D26" s="1" t="s">
        <v>12</v>
      </c>
      <c r="E26" s="1">
        <v>7</v>
      </c>
      <c r="F26" s="3">
        <v>12000</v>
      </c>
      <c r="G26" s="3">
        <v>79800</v>
      </c>
    </row>
    <row r="28" spans="1:7" x14ac:dyDescent="0.3">
      <c r="A28" t="s">
        <v>65</v>
      </c>
    </row>
    <row r="29" spans="1:7" x14ac:dyDescent="0.3">
      <c r="A29" t="b">
        <f>AND(G3&gt;=AVERAGE($G$3:$G$26),OR(C3="컴퓨터",C3="사회과학"))</f>
        <v>1</v>
      </c>
    </row>
    <row r="31" spans="1:7" x14ac:dyDescent="0.3">
      <c r="A31" t="s">
        <v>66</v>
      </c>
      <c r="B31" t="s">
        <v>67</v>
      </c>
      <c r="C31" t="s">
        <v>68</v>
      </c>
      <c r="D31" t="s">
        <v>69</v>
      </c>
      <c r="E31" t="s">
        <v>70</v>
      </c>
    </row>
    <row r="32" spans="1:7" x14ac:dyDescent="0.3">
      <c r="A32" s="2">
        <v>43833</v>
      </c>
      <c r="B32" s="1" t="s">
        <v>8</v>
      </c>
      <c r="C32" s="1" t="s">
        <v>9</v>
      </c>
      <c r="D32" s="1">
        <v>10</v>
      </c>
      <c r="E32" s="3">
        <v>188100</v>
      </c>
    </row>
    <row r="33" spans="1:5" x14ac:dyDescent="0.3">
      <c r="A33" s="2">
        <v>43905</v>
      </c>
      <c r="B33" s="1" t="s">
        <v>14</v>
      </c>
      <c r="C33" s="1" t="s">
        <v>16</v>
      </c>
      <c r="D33" s="1">
        <v>6</v>
      </c>
      <c r="E33" s="3">
        <v>106920</v>
      </c>
    </row>
    <row r="34" spans="1:5" x14ac:dyDescent="0.3">
      <c r="A34" s="2">
        <v>43936</v>
      </c>
      <c r="B34" s="1" t="s">
        <v>8</v>
      </c>
      <c r="C34" s="1" t="s">
        <v>17</v>
      </c>
      <c r="D34" s="1">
        <v>10</v>
      </c>
      <c r="E34" s="3">
        <v>94050</v>
      </c>
    </row>
    <row r="35" spans="1:5" x14ac:dyDescent="0.3">
      <c r="A35" s="2">
        <v>43912</v>
      </c>
      <c r="B35" s="1" t="s">
        <v>14</v>
      </c>
      <c r="C35" s="1" t="s">
        <v>38</v>
      </c>
      <c r="D35" s="1">
        <v>9</v>
      </c>
      <c r="E35" s="3">
        <v>142560</v>
      </c>
    </row>
    <row r="36" spans="1:5" x14ac:dyDescent="0.3">
      <c r="A36" s="2">
        <v>43864</v>
      </c>
      <c r="B36" s="1" t="s">
        <v>8</v>
      </c>
      <c r="C36" s="1" t="s">
        <v>47</v>
      </c>
      <c r="D36" s="1">
        <v>8</v>
      </c>
      <c r="E36" s="3">
        <v>75240</v>
      </c>
    </row>
  </sheetData>
  <phoneticPr fontId="1" type="noConversion"/>
  <conditionalFormatting sqref="A3:G26">
    <cfRule type="expression" dxfId="0" priority="1">
      <formula>OR($A3=MAX($A$3:$A$26),$A3=MIN($A$3:$A$26))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3"/>
  <dimension ref="B2:J35"/>
  <sheetViews>
    <sheetView workbookViewId="0">
      <selection activeCell="H18" sqref="H18"/>
    </sheetView>
  </sheetViews>
  <sheetFormatPr defaultRowHeight="16.5" x14ac:dyDescent="0.3"/>
  <cols>
    <col min="1" max="1" width="4.5" customWidth="1"/>
    <col min="2" max="2" width="10.75" customWidth="1"/>
    <col min="3" max="3" width="9.5" customWidth="1"/>
    <col min="4" max="4" width="9.875" customWidth="1"/>
    <col min="5" max="6" width="11.375" customWidth="1"/>
    <col min="8" max="8" width="9.125" bestFit="1" customWidth="1"/>
    <col min="9" max="9" width="13.75" bestFit="1" customWidth="1"/>
    <col min="10" max="10" width="11.875" customWidth="1"/>
  </cols>
  <sheetData>
    <row r="2" spans="2:10" x14ac:dyDescent="0.3">
      <c r="B2" t="s">
        <v>50</v>
      </c>
      <c r="I2" t="s">
        <v>51</v>
      </c>
      <c r="J2" s="4">
        <v>43921</v>
      </c>
    </row>
    <row r="3" spans="2:10" x14ac:dyDescent="0.3">
      <c r="B3" s="1" t="s">
        <v>2</v>
      </c>
      <c r="C3" s="1" t="s">
        <v>1</v>
      </c>
      <c r="D3" s="1" t="s">
        <v>3</v>
      </c>
      <c r="E3" s="1" t="s">
        <v>0</v>
      </c>
      <c r="F3" s="5" t="s">
        <v>52</v>
      </c>
      <c r="G3" s="1" t="s">
        <v>4</v>
      </c>
      <c r="H3" s="1" t="s">
        <v>5</v>
      </c>
      <c r="I3" s="1" t="s">
        <v>53</v>
      </c>
      <c r="J3" s="5" t="s">
        <v>54</v>
      </c>
    </row>
    <row r="4" spans="2:10" x14ac:dyDescent="0.3">
      <c r="B4" s="1" t="s">
        <v>8</v>
      </c>
      <c r="C4" s="1" t="s">
        <v>7</v>
      </c>
      <c r="D4" s="1" t="s">
        <v>9</v>
      </c>
      <c r="E4" s="2">
        <v>43831</v>
      </c>
      <c r="F4" s="2" t="str">
        <f>TEXT(WORKDAY(E4,5),"MM월 DD일")</f>
        <v>01월 08일</v>
      </c>
      <c r="G4" s="1">
        <v>10</v>
      </c>
      <c r="H4" s="3">
        <v>19800</v>
      </c>
      <c r="I4" s="3">
        <f t="shared" ref="I4:I27" si="0">G4*H4</f>
        <v>198000</v>
      </c>
      <c r="J4" s="6" cm="1">
        <f t="array" ref="J4">fn할인액(E4,I4)</f>
        <v>29700</v>
      </c>
    </row>
    <row r="5" spans="2:10" x14ac:dyDescent="0.3">
      <c r="B5" s="1" t="s">
        <v>20</v>
      </c>
      <c r="C5" s="1" t="s">
        <v>46</v>
      </c>
      <c r="D5" s="1" t="s">
        <v>48</v>
      </c>
      <c r="E5" s="2">
        <v>43895</v>
      </c>
      <c r="F5" s="2" t="str">
        <f t="shared" ref="F5:F27" si="1">TEXT(WORKDAY(E5,5),"MM월 DD일")</f>
        <v>03월 12일</v>
      </c>
      <c r="G5" s="1">
        <v>5</v>
      </c>
      <c r="H5" s="3">
        <v>19800</v>
      </c>
      <c r="I5" s="3">
        <f t="shared" si="0"/>
        <v>99000</v>
      </c>
      <c r="J5" s="6" cm="1">
        <f t="array" ref="J5">fn할인액(E5,I5)</f>
        <v>14850</v>
      </c>
    </row>
    <row r="6" spans="2:10" x14ac:dyDescent="0.3">
      <c r="B6" s="1" t="s">
        <v>11</v>
      </c>
      <c r="C6" s="1" t="s">
        <v>49</v>
      </c>
      <c r="D6" s="1" t="s">
        <v>12</v>
      </c>
      <c r="E6" s="2">
        <v>43935</v>
      </c>
      <c r="F6" s="2" t="str">
        <f t="shared" si="1"/>
        <v>04월 21일</v>
      </c>
      <c r="G6" s="1">
        <v>7</v>
      </c>
      <c r="H6" s="3">
        <v>12000</v>
      </c>
      <c r="I6" s="3">
        <f t="shared" si="0"/>
        <v>84000</v>
      </c>
      <c r="J6" s="6" cm="1">
        <f t="array" ref="J6">fn할인액(E6,I6)</f>
        <v>0</v>
      </c>
    </row>
    <row r="7" spans="2:10" x14ac:dyDescent="0.3">
      <c r="B7" s="1" t="s">
        <v>14</v>
      </c>
      <c r="C7" s="1" t="s">
        <v>13</v>
      </c>
      <c r="D7" s="1" t="s">
        <v>15</v>
      </c>
      <c r="E7" s="2">
        <v>43876</v>
      </c>
      <c r="F7" s="2" t="str">
        <f t="shared" si="1"/>
        <v>02월 21일</v>
      </c>
      <c r="G7" s="1">
        <v>3</v>
      </c>
      <c r="H7" s="3">
        <v>9900</v>
      </c>
      <c r="I7" s="3">
        <f t="shared" si="0"/>
        <v>29700</v>
      </c>
      <c r="J7" s="6" cm="1">
        <f t="array" ref="J7">fn할인액(E7,I7)</f>
        <v>4455</v>
      </c>
    </row>
    <row r="8" spans="2:10" x14ac:dyDescent="0.3">
      <c r="B8" s="1" t="s">
        <v>8</v>
      </c>
      <c r="C8" s="1" t="s">
        <v>46</v>
      </c>
      <c r="D8" s="1" t="s">
        <v>47</v>
      </c>
      <c r="E8" s="2">
        <v>43864</v>
      </c>
      <c r="F8" s="2" t="str">
        <f t="shared" si="1"/>
        <v>02월 10일</v>
      </c>
      <c r="G8" s="1">
        <v>8</v>
      </c>
      <c r="H8" s="3">
        <v>9900</v>
      </c>
      <c r="I8" s="3">
        <f t="shared" si="0"/>
        <v>79200</v>
      </c>
      <c r="J8" s="6" cm="1">
        <f t="array" ref="J8">fn할인액(E8,I8)</f>
        <v>11880</v>
      </c>
    </row>
    <row r="9" spans="2:10" x14ac:dyDescent="0.3">
      <c r="B9" s="1" t="s">
        <v>8</v>
      </c>
      <c r="C9" s="1" t="s">
        <v>34</v>
      </c>
      <c r="D9" s="1" t="s">
        <v>35</v>
      </c>
      <c r="E9" s="2">
        <v>43856</v>
      </c>
      <c r="F9" s="2" t="str">
        <f t="shared" si="1"/>
        <v>01월 31일</v>
      </c>
      <c r="G9" s="1">
        <v>2</v>
      </c>
      <c r="H9" s="3">
        <v>15000</v>
      </c>
      <c r="I9" s="3">
        <f t="shared" si="0"/>
        <v>30000</v>
      </c>
      <c r="J9" s="6" cm="1">
        <f t="array" ref="J9">fn할인액(E9,I9)</f>
        <v>4500</v>
      </c>
    </row>
    <row r="10" spans="2:10" x14ac:dyDescent="0.3">
      <c r="B10" s="1" t="s">
        <v>11</v>
      </c>
      <c r="C10" s="1" t="s">
        <v>28</v>
      </c>
      <c r="D10" s="1" t="s">
        <v>29</v>
      </c>
      <c r="E10" s="2">
        <v>43892</v>
      </c>
      <c r="F10" s="2" t="str">
        <f t="shared" si="1"/>
        <v>03월 09일</v>
      </c>
      <c r="G10" s="1">
        <v>3</v>
      </c>
      <c r="H10" s="3">
        <v>12000</v>
      </c>
      <c r="I10" s="3">
        <f t="shared" si="0"/>
        <v>36000</v>
      </c>
      <c r="J10" s="6" cm="1">
        <f t="array" ref="J10">fn할인액(E10,I10)</f>
        <v>5400</v>
      </c>
    </row>
    <row r="11" spans="2:10" x14ac:dyDescent="0.3">
      <c r="B11" s="1" t="s">
        <v>20</v>
      </c>
      <c r="C11" s="1" t="s">
        <v>18</v>
      </c>
      <c r="D11" s="1" t="s">
        <v>21</v>
      </c>
      <c r="E11" s="2">
        <v>43926</v>
      </c>
      <c r="F11" s="2" t="str">
        <f t="shared" si="1"/>
        <v>04월 10일</v>
      </c>
      <c r="G11" s="1">
        <v>1</v>
      </c>
      <c r="H11" s="3">
        <v>19800</v>
      </c>
      <c r="I11" s="3">
        <f t="shared" si="0"/>
        <v>19800</v>
      </c>
      <c r="J11" s="6" cm="1">
        <f t="array" ref="J11">fn할인액(E11,I11)</f>
        <v>0</v>
      </c>
    </row>
    <row r="12" spans="2:10" x14ac:dyDescent="0.3">
      <c r="B12" s="1" t="s">
        <v>20</v>
      </c>
      <c r="C12" s="1" t="s">
        <v>26</v>
      </c>
      <c r="D12" s="1" t="s">
        <v>27</v>
      </c>
      <c r="E12" s="2">
        <v>43913</v>
      </c>
      <c r="F12" s="2" t="str">
        <f t="shared" si="1"/>
        <v>03월 30일</v>
      </c>
      <c r="G12" s="1">
        <v>4</v>
      </c>
      <c r="H12" s="3">
        <v>17000</v>
      </c>
      <c r="I12" s="3">
        <f t="shared" si="0"/>
        <v>68000</v>
      </c>
      <c r="J12" s="6" cm="1">
        <f t="array" ref="J12">fn할인액(E12,I12)</f>
        <v>10200</v>
      </c>
    </row>
    <row r="13" spans="2:10" x14ac:dyDescent="0.3">
      <c r="B13" s="1" t="s">
        <v>11</v>
      </c>
      <c r="C13" s="1" t="s">
        <v>32</v>
      </c>
      <c r="D13" s="1" t="s">
        <v>33</v>
      </c>
      <c r="E13" s="2">
        <v>43842</v>
      </c>
      <c r="F13" s="2" t="str">
        <f t="shared" si="1"/>
        <v>01월 17일</v>
      </c>
      <c r="G13" s="1">
        <v>5</v>
      </c>
      <c r="H13" s="3">
        <v>9900</v>
      </c>
      <c r="I13" s="3">
        <f t="shared" si="0"/>
        <v>49500</v>
      </c>
      <c r="J13" s="6" cm="1">
        <f t="array" ref="J13">fn할인액(E13,I13)</f>
        <v>7425</v>
      </c>
    </row>
    <row r="14" spans="2:10" x14ac:dyDescent="0.3">
      <c r="B14" s="1" t="s">
        <v>11</v>
      </c>
      <c r="C14" s="1" t="s">
        <v>44</v>
      </c>
      <c r="D14" s="1" t="s">
        <v>45</v>
      </c>
      <c r="E14" s="2">
        <v>43896</v>
      </c>
      <c r="F14" s="2" t="str">
        <f t="shared" si="1"/>
        <v>03월 13일</v>
      </c>
      <c r="G14" s="1">
        <v>4</v>
      </c>
      <c r="H14" s="3">
        <v>11000</v>
      </c>
      <c r="I14" s="3">
        <f t="shared" si="0"/>
        <v>44000</v>
      </c>
      <c r="J14" s="6" cm="1">
        <f t="array" ref="J14">fn할인액(E14,I14)</f>
        <v>6600</v>
      </c>
    </row>
    <row r="15" spans="2:10" x14ac:dyDescent="0.3">
      <c r="B15" s="1" t="s">
        <v>20</v>
      </c>
      <c r="C15" s="1" t="s">
        <v>30</v>
      </c>
      <c r="D15" s="1" t="s">
        <v>31</v>
      </c>
      <c r="E15" s="2">
        <v>43882</v>
      </c>
      <c r="F15" s="2" t="str">
        <f t="shared" si="1"/>
        <v>02월 28일</v>
      </c>
      <c r="G15" s="1">
        <v>12</v>
      </c>
      <c r="H15" s="3">
        <v>22000</v>
      </c>
      <c r="I15" s="3">
        <f t="shared" si="0"/>
        <v>264000</v>
      </c>
      <c r="J15" s="6" cm="1">
        <f t="array" ref="J15">fn할인액(E15,I15)</f>
        <v>39600</v>
      </c>
    </row>
    <row r="16" spans="2:10" x14ac:dyDescent="0.3">
      <c r="B16" s="1" t="s">
        <v>14</v>
      </c>
      <c r="C16" s="1" t="s">
        <v>13</v>
      </c>
      <c r="D16" s="1" t="s">
        <v>16</v>
      </c>
      <c r="E16" s="2">
        <v>43905</v>
      </c>
      <c r="F16" s="2" t="str">
        <f t="shared" si="1"/>
        <v>03월 20일</v>
      </c>
      <c r="G16" s="1">
        <v>6</v>
      </c>
      <c r="H16" s="3">
        <v>19800</v>
      </c>
      <c r="I16" s="3">
        <f t="shared" si="0"/>
        <v>118800</v>
      </c>
      <c r="J16" s="6" cm="1">
        <f t="array" ref="J16">fn할인액(E16,I16)</f>
        <v>17820</v>
      </c>
    </row>
    <row r="17" spans="2:10" x14ac:dyDescent="0.3">
      <c r="B17" s="1" t="s">
        <v>8</v>
      </c>
      <c r="C17" s="1" t="s">
        <v>13</v>
      </c>
      <c r="D17" s="1" t="s">
        <v>17</v>
      </c>
      <c r="E17" s="2">
        <v>43936</v>
      </c>
      <c r="F17" s="2" t="str">
        <f t="shared" si="1"/>
        <v>04월 22일</v>
      </c>
      <c r="G17" s="1">
        <v>10</v>
      </c>
      <c r="H17" s="3">
        <v>9900</v>
      </c>
      <c r="I17" s="3">
        <f t="shared" si="0"/>
        <v>99000</v>
      </c>
      <c r="J17" s="6" cm="1">
        <f t="array" ref="J17">fn할인액(E17,I17)</f>
        <v>0</v>
      </c>
    </row>
    <row r="18" spans="2:10" x14ac:dyDescent="0.3">
      <c r="B18" s="1" t="s">
        <v>14</v>
      </c>
      <c r="C18" s="1" t="s">
        <v>18</v>
      </c>
      <c r="D18" s="1" t="s">
        <v>19</v>
      </c>
      <c r="E18" s="2">
        <v>43866</v>
      </c>
      <c r="F18" s="2" t="str">
        <f t="shared" si="1"/>
        <v>02월 12일</v>
      </c>
      <c r="G18" s="1">
        <v>2</v>
      </c>
      <c r="H18" s="3">
        <v>19800</v>
      </c>
      <c r="I18" s="3">
        <f t="shared" si="0"/>
        <v>39600</v>
      </c>
      <c r="J18" s="6" cm="1">
        <f t="array" ref="J18">fn할인액(E18,I18)</f>
        <v>5940</v>
      </c>
    </row>
    <row r="19" spans="2:10" x14ac:dyDescent="0.3">
      <c r="B19" s="1" t="s">
        <v>14</v>
      </c>
      <c r="C19" s="1" t="s">
        <v>36</v>
      </c>
      <c r="D19" s="1" t="s">
        <v>38</v>
      </c>
      <c r="E19" s="2">
        <v>43912</v>
      </c>
      <c r="F19" s="2" t="str">
        <f t="shared" si="1"/>
        <v>03월 27일</v>
      </c>
      <c r="G19" s="1">
        <v>9</v>
      </c>
      <c r="H19" s="3">
        <v>17600</v>
      </c>
      <c r="I19" s="3">
        <f t="shared" si="0"/>
        <v>158400</v>
      </c>
      <c r="J19" s="6" cm="1">
        <f t="array" ref="J19">fn할인액(E19,I19)</f>
        <v>23760</v>
      </c>
    </row>
    <row r="20" spans="2:10" x14ac:dyDescent="0.3">
      <c r="B20" s="1" t="s">
        <v>11</v>
      </c>
      <c r="C20" s="1" t="s">
        <v>10</v>
      </c>
      <c r="D20" s="1" t="s">
        <v>12</v>
      </c>
      <c r="E20" s="2">
        <v>43926</v>
      </c>
      <c r="F20" s="2" t="str">
        <f t="shared" si="1"/>
        <v>04월 10일</v>
      </c>
      <c r="G20" s="1">
        <v>1</v>
      </c>
      <c r="H20" s="3">
        <v>11000</v>
      </c>
      <c r="I20" s="3">
        <f t="shared" si="0"/>
        <v>11000</v>
      </c>
      <c r="J20" s="6" cm="1">
        <f t="array" ref="J20">fn할인액(E20,I20)</f>
        <v>0</v>
      </c>
    </row>
    <row r="21" spans="2:10" x14ac:dyDescent="0.3">
      <c r="B21" s="1" t="s">
        <v>20</v>
      </c>
      <c r="C21" s="1" t="s">
        <v>36</v>
      </c>
      <c r="D21" s="1" t="s">
        <v>37</v>
      </c>
      <c r="E21" s="2">
        <v>43852</v>
      </c>
      <c r="F21" s="2" t="str">
        <f t="shared" si="1"/>
        <v>01월 29일</v>
      </c>
      <c r="G21" s="1">
        <v>7</v>
      </c>
      <c r="H21" s="3">
        <v>8800</v>
      </c>
      <c r="I21" s="3">
        <f t="shared" si="0"/>
        <v>61600</v>
      </c>
      <c r="J21" s="6" cm="1">
        <f t="array" ref="J21">fn할인액(E21,I21)</f>
        <v>9240</v>
      </c>
    </row>
    <row r="22" spans="2:10" x14ac:dyDescent="0.3">
      <c r="B22" s="1" t="s">
        <v>14</v>
      </c>
      <c r="C22" s="1" t="s">
        <v>39</v>
      </c>
      <c r="D22" s="1" t="s">
        <v>15</v>
      </c>
      <c r="E22" s="2">
        <v>43876</v>
      </c>
      <c r="F22" s="2" t="str">
        <f t="shared" si="1"/>
        <v>02월 21일</v>
      </c>
      <c r="G22" s="1">
        <v>1</v>
      </c>
      <c r="H22" s="3">
        <v>17600</v>
      </c>
      <c r="I22" s="3">
        <f t="shared" si="0"/>
        <v>17600</v>
      </c>
      <c r="J22" s="6" cm="1">
        <f t="array" ref="J22">fn할인액(E22,I22)</f>
        <v>2640</v>
      </c>
    </row>
    <row r="23" spans="2:10" x14ac:dyDescent="0.3">
      <c r="B23" s="1" t="s">
        <v>8</v>
      </c>
      <c r="C23" s="1" t="s">
        <v>24</v>
      </c>
      <c r="D23" s="1" t="s">
        <v>25</v>
      </c>
      <c r="E23" s="2">
        <v>43933</v>
      </c>
      <c r="F23" s="2" t="str">
        <f t="shared" si="1"/>
        <v>04월 17일</v>
      </c>
      <c r="G23" s="1">
        <v>6</v>
      </c>
      <c r="H23" s="3">
        <v>2000</v>
      </c>
      <c r="I23" s="3">
        <f t="shared" si="0"/>
        <v>12000</v>
      </c>
      <c r="J23" s="6" cm="1">
        <f t="array" ref="J23">fn할인액(E23,I23)</f>
        <v>0</v>
      </c>
    </row>
    <row r="24" spans="2:10" x14ac:dyDescent="0.3">
      <c r="B24" s="1" t="s">
        <v>11</v>
      </c>
      <c r="C24" s="1" t="s">
        <v>22</v>
      </c>
      <c r="D24" s="1" t="s">
        <v>23</v>
      </c>
      <c r="E24" s="2">
        <v>43907</v>
      </c>
      <c r="F24" s="2" t="str">
        <f t="shared" si="1"/>
        <v>03월 24일</v>
      </c>
      <c r="G24" s="1">
        <v>1</v>
      </c>
      <c r="H24" s="3">
        <v>10000</v>
      </c>
      <c r="I24" s="3">
        <f t="shared" si="0"/>
        <v>10000</v>
      </c>
      <c r="J24" s="6" cm="1">
        <f t="array" ref="J24">fn할인액(E24,I24)</f>
        <v>1500</v>
      </c>
    </row>
    <row r="25" spans="2:10" x14ac:dyDescent="0.3">
      <c r="B25" s="1" t="s">
        <v>11</v>
      </c>
      <c r="C25" s="1" t="s">
        <v>39</v>
      </c>
      <c r="D25" s="1" t="s">
        <v>40</v>
      </c>
      <c r="E25" s="2">
        <v>43917</v>
      </c>
      <c r="F25" s="2" t="str">
        <f t="shared" si="1"/>
        <v>04월 03일</v>
      </c>
      <c r="G25" s="1">
        <v>1</v>
      </c>
      <c r="H25" s="3">
        <v>8800</v>
      </c>
      <c r="I25" s="3">
        <f t="shared" si="0"/>
        <v>8800</v>
      </c>
      <c r="J25" s="6" cm="1">
        <f t="array" ref="J25">fn할인액(E25,I25)</f>
        <v>1320</v>
      </c>
    </row>
    <row r="26" spans="2:10" x14ac:dyDescent="0.3">
      <c r="B26" s="1" t="s">
        <v>20</v>
      </c>
      <c r="C26" s="1" t="s">
        <v>41</v>
      </c>
      <c r="D26" s="1" t="s">
        <v>42</v>
      </c>
      <c r="E26" s="2">
        <v>43831</v>
      </c>
      <c r="F26" s="2" t="str">
        <f t="shared" si="1"/>
        <v>01월 08일</v>
      </c>
      <c r="G26" s="1">
        <v>8</v>
      </c>
      <c r="H26" s="3">
        <v>7000</v>
      </c>
      <c r="I26" s="3">
        <f t="shared" si="0"/>
        <v>56000</v>
      </c>
      <c r="J26" s="6" cm="1">
        <f t="array" ref="J26">fn할인액(E26,I26)</f>
        <v>8400</v>
      </c>
    </row>
    <row r="27" spans="2:10" x14ac:dyDescent="0.3">
      <c r="B27" s="1" t="s">
        <v>8</v>
      </c>
      <c r="C27" s="1" t="s">
        <v>41</v>
      </c>
      <c r="D27" s="1" t="s">
        <v>43</v>
      </c>
      <c r="E27" s="2">
        <v>43941</v>
      </c>
      <c r="F27" s="2" t="str">
        <f t="shared" si="1"/>
        <v>04월 27일</v>
      </c>
      <c r="G27" s="1">
        <v>1</v>
      </c>
      <c r="H27" s="3">
        <v>15000</v>
      </c>
      <c r="I27" s="3">
        <f t="shared" si="0"/>
        <v>15000</v>
      </c>
      <c r="J27" s="6" cm="1">
        <f t="array" ref="J27">fn할인액(E27,I27)</f>
        <v>0</v>
      </c>
    </row>
    <row r="29" spans="2:10" x14ac:dyDescent="0.3">
      <c r="B29" t="s">
        <v>55</v>
      </c>
      <c r="H29" t="s">
        <v>56</v>
      </c>
    </row>
    <row r="30" spans="2:10" x14ac:dyDescent="0.3">
      <c r="B30" s="1" t="s">
        <v>57</v>
      </c>
      <c r="C30" s="5" t="s">
        <v>8</v>
      </c>
      <c r="D30" s="5" t="s">
        <v>20</v>
      </c>
      <c r="E30" s="5" t="s">
        <v>11</v>
      </c>
      <c r="F30" s="5" t="s">
        <v>14</v>
      </c>
      <c r="H30" s="1" t="s">
        <v>1</v>
      </c>
      <c r="I30" s="1" t="s">
        <v>58</v>
      </c>
      <c r="J30" s="5" t="s">
        <v>59</v>
      </c>
    </row>
    <row r="31" spans="2:10" x14ac:dyDescent="0.3">
      <c r="B31" s="1">
        <v>1</v>
      </c>
      <c r="C31" s="6">
        <f t="array" ref="C31">SUM((MONTH($E$4:$E$27)=$B31)*($B$4:$B$27=C$30))</f>
        <v>2</v>
      </c>
      <c r="D31" s="6">
        <f t="array" ref="D31">SUM((MONTH($E$4:$E$27)=$B31)*($B$4:$B$27=D$30))</f>
        <v>2</v>
      </c>
      <c r="E31" s="6">
        <f t="array" ref="E31">SUM((MONTH($E$4:$E$27)=$B31)*($B$4:$B$27=E$30))</f>
        <v>1</v>
      </c>
      <c r="F31" s="6">
        <f t="array" ref="F31">SUM((MONTH($E$4:$E$27)=$B31)*($B$4:$B$27=F$30))</f>
        <v>0</v>
      </c>
      <c r="H31" s="1" t="s">
        <v>60</v>
      </c>
      <c r="I31" s="1" t="s">
        <v>61</v>
      </c>
      <c r="J31" s="7">
        <f t="array" ref="J31">MAX(IF(LEFT($C$4:$C$27,1)=H31,$H$4:$H$27))</f>
        <v>22000</v>
      </c>
    </row>
    <row r="32" spans="2:10" x14ac:dyDescent="0.3">
      <c r="B32" s="1">
        <v>2</v>
      </c>
      <c r="C32" s="6">
        <f t="array" ref="C32">SUM((MONTH($E$4:$E$27)=$B32)*($B$4:$B$27=C$30))</f>
        <v>1</v>
      </c>
      <c r="D32" s="6">
        <f t="array" ref="D32">SUM((MONTH($E$4:$E$27)=$B32)*($B$4:$B$27=D$30))</f>
        <v>1</v>
      </c>
      <c r="E32" s="6">
        <f t="array" ref="E32">SUM((MONTH($E$4:$E$27)=$B32)*($B$4:$B$27=E$30))</f>
        <v>0</v>
      </c>
      <c r="F32" s="6">
        <f t="array" ref="F32">SUM((MONTH($E$4:$E$27)=$B32)*($B$4:$B$27=F$30))</f>
        <v>3</v>
      </c>
      <c r="H32" s="1" t="s">
        <v>62</v>
      </c>
      <c r="I32" s="1" t="s">
        <v>63</v>
      </c>
      <c r="J32" s="7">
        <f t="array" ref="J32">MAX(IF(LEFT($C$4:$C$27,1)=H32,$H$4:$H$27))</f>
        <v>19800</v>
      </c>
    </row>
    <row r="33" spans="2:9" x14ac:dyDescent="0.3">
      <c r="B33" s="1">
        <v>3</v>
      </c>
      <c r="C33" s="6">
        <f t="array" ref="C33">SUM((MONTH($E$4:$E$27)=$B33)*($B$4:$B$27=C$30))</f>
        <v>0</v>
      </c>
      <c r="D33" s="6">
        <f t="array" ref="D33">SUM((MONTH($E$4:$E$27)=$B33)*($B$4:$B$27=D$30))</f>
        <v>2</v>
      </c>
      <c r="E33" s="6">
        <f t="array" ref="E33">SUM((MONTH($E$4:$E$27)=$B33)*($B$4:$B$27=E$30))</f>
        <v>4</v>
      </c>
      <c r="F33" s="6">
        <f t="array" ref="F33">SUM((MONTH($E$4:$E$27)=$B33)*($B$4:$B$27=F$30))</f>
        <v>2</v>
      </c>
    </row>
    <row r="34" spans="2:9" x14ac:dyDescent="0.3">
      <c r="B34" s="1">
        <v>4</v>
      </c>
      <c r="C34" s="6">
        <f t="array" ref="C34">SUM((MONTH($E$4:$E$27)=$B34)*($B$4:$B$27=C$30))</f>
        <v>3</v>
      </c>
      <c r="D34" s="6">
        <f t="array" ref="D34">SUM((MONTH($E$4:$E$27)=$B34)*($B$4:$B$27=D$30))</f>
        <v>1</v>
      </c>
      <c r="E34" s="6">
        <f t="array" ref="E34">SUM((MONTH($E$4:$E$27)=$B34)*($B$4:$B$27=E$30))</f>
        <v>2</v>
      </c>
      <c r="F34" s="6">
        <f t="array" ref="F34">SUM((MONTH($E$4:$E$27)=$B34)*($B$4:$B$27=F$30))</f>
        <v>0</v>
      </c>
      <c r="H34" t="s">
        <v>64</v>
      </c>
    </row>
    <row r="35" spans="2:9" x14ac:dyDescent="0.3">
      <c r="H35" s="5" t="s">
        <v>1</v>
      </c>
      <c r="I35" s="1" t="str">
        <f t="array" ref="I35">INDEX(B4:J27,MATCH(MAX((B4:B27="취미/레저")*I4:I27),(B4:B27="취미/레저")*I4:I27,0),2)</f>
        <v>O051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B2:E15"/>
  <sheetViews>
    <sheetView tabSelected="1" workbookViewId="0">
      <selection activeCell="P18" sqref="P18"/>
    </sheetView>
  </sheetViews>
  <sheetFormatPr defaultRowHeight="16.5" x14ac:dyDescent="0.3"/>
  <cols>
    <col min="1" max="1" width="2.875" customWidth="1"/>
    <col min="2" max="3" width="11.25" bestFit="1" customWidth="1"/>
    <col min="4" max="4" width="11.125" bestFit="1" customWidth="1"/>
    <col min="5" max="5" width="12.125" bestFit="1" customWidth="1"/>
  </cols>
  <sheetData>
    <row r="2" spans="2:5" x14ac:dyDescent="0.3">
      <c r="B2" s="9" t="s">
        <v>2</v>
      </c>
      <c r="C2" t="s">
        <v>20</v>
      </c>
    </row>
    <row r="4" spans="2:5" x14ac:dyDescent="0.3">
      <c r="B4" s="9" t="s">
        <v>74</v>
      </c>
      <c r="C4" s="9" t="s">
        <v>1</v>
      </c>
      <c r="D4" t="s">
        <v>72</v>
      </c>
      <c r="E4" t="s">
        <v>73</v>
      </c>
    </row>
    <row r="5" spans="2:5" x14ac:dyDescent="0.3">
      <c r="B5" t="s">
        <v>61</v>
      </c>
      <c r="D5" s="10"/>
      <c r="E5" s="11"/>
    </row>
    <row r="6" spans="2:5" x14ac:dyDescent="0.3">
      <c r="C6" t="s">
        <v>18</v>
      </c>
      <c r="D6" s="10">
        <v>1</v>
      </c>
      <c r="E6" s="11">
        <v>19800</v>
      </c>
    </row>
    <row r="7" spans="2:5" x14ac:dyDescent="0.3">
      <c r="C7" t="s">
        <v>26</v>
      </c>
      <c r="D7" s="10">
        <v>4</v>
      </c>
      <c r="E7" s="11">
        <v>68000</v>
      </c>
    </row>
    <row r="8" spans="2:5" x14ac:dyDescent="0.3">
      <c r="C8" t="s">
        <v>30</v>
      </c>
      <c r="D8" s="10">
        <v>12</v>
      </c>
      <c r="E8" s="11">
        <v>264000</v>
      </c>
    </row>
    <row r="9" spans="2:5" x14ac:dyDescent="0.3">
      <c r="B9" t="s">
        <v>75</v>
      </c>
      <c r="D9" s="10">
        <v>17</v>
      </c>
      <c r="E9" s="11">
        <v>351800</v>
      </c>
    </row>
    <row r="10" spans="2:5" x14ac:dyDescent="0.3">
      <c r="B10" t="s">
        <v>63</v>
      </c>
      <c r="D10" s="10"/>
      <c r="E10" s="11"/>
    </row>
    <row r="11" spans="2:5" x14ac:dyDescent="0.3">
      <c r="C11" t="s">
        <v>36</v>
      </c>
      <c r="D11" s="10">
        <v>7</v>
      </c>
      <c r="E11" s="11">
        <v>61600</v>
      </c>
    </row>
    <row r="12" spans="2:5" x14ac:dyDescent="0.3">
      <c r="C12" t="s">
        <v>41</v>
      </c>
      <c r="D12" s="10">
        <v>8</v>
      </c>
      <c r="E12" s="11">
        <v>56000</v>
      </c>
    </row>
    <row r="13" spans="2:5" x14ac:dyDescent="0.3">
      <c r="C13" t="s">
        <v>46</v>
      </c>
      <c r="D13" s="10">
        <v>5</v>
      </c>
      <c r="E13" s="11">
        <v>99000</v>
      </c>
    </row>
    <row r="14" spans="2:5" x14ac:dyDescent="0.3">
      <c r="B14" t="s">
        <v>76</v>
      </c>
      <c r="D14" s="10">
        <v>20</v>
      </c>
      <c r="E14" s="11">
        <v>216600</v>
      </c>
    </row>
    <row r="15" spans="2:5" x14ac:dyDescent="0.3">
      <c r="B15" t="s">
        <v>71</v>
      </c>
      <c r="D15" s="10">
        <v>37</v>
      </c>
      <c r="E15" s="11">
        <v>568400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4440-4443-4389-BC3D-42DAB5298C62}">
  <sheetPr codeName="Sheet5"/>
  <dimension ref="A1:G14"/>
  <sheetViews>
    <sheetView workbookViewId="0">
      <selection activeCell="C3" sqref="C3:C14"/>
    </sheetView>
  </sheetViews>
  <sheetFormatPr defaultRowHeight="16.5" x14ac:dyDescent="0.3"/>
  <cols>
    <col min="1" max="1" width="11.125" bestFit="1" customWidth="1"/>
    <col min="3" max="3" width="9.75" bestFit="1" customWidth="1"/>
    <col min="5" max="5" width="5.25" bestFit="1" customWidth="1"/>
    <col min="6" max="6" width="8.375" bestFit="1" customWidth="1"/>
    <col min="7" max="7" width="9.375" bestFit="1" customWidth="1"/>
  </cols>
  <sheetData>
    <row r="1" spans="1:7" x14ac:dyDescent="0.3">
      <c r="A1" t="s">
        <v>50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43831</v>
      </c>
      <c r="B3" s="1" t="s">
        <v>7</v>
      </c>
      <c r="C3" s="1" t="s">
        <v>8</v>
      </c>
      <c r="D3" s="1" t="s">
        <v>9</v>
      </c>
      <c r="E3" s="1">
        <v>10</v>
      </c>
      <c r="F3" s="3">
        <v>19800</v>
      </c>
      <c r="G3" s="3">
        <v>188100</v>
      </c>
    </row>
    <row r="4" spans="1:7" x14ac:dyDescent="0.3">
      <c r="A4" s="2">
        <v>43866</v>
      </c>
      <c r="B4" s="1" t="s">
        <v>18</v>
      </c>
      <c r="C4" s="1" t="s">
        <v>14</v>
      </c>
      <c r="D4" s="1" t="s">
        <v>19</v>
      </c>
      <c r="E4" s="1">
        <v>2</v>
      </c>
      <c r="F4" s="3">
        <v>19800</v>
      </c>
      <c r="G4" s="3">
        <v>35640</v>
      </c>
    </row>
    <row r="5" spans="1:7" x14ac:dyDescent="0.3">
      <c r="A5" s="2">
        <v>43876</v>
      </c>
      <c r="B5" s="1" t="s">
        <v>13</v>
      </c>
      <c r="C5" s="1" t="s">
        <v>14</v>
      </c>
      <c r="D5" s="1" t="s">
        <v>15</v>
      </c>
      <c r="E5" s="1">
        <v>3</v>
      </c>
      <c r="F5" s="3">
        <v>9900</v>
      </c>
      <c r="G5" s="3">
        <v>26730</v>
      </c>
    </row>
    <row r="6" spans="1:7" x14ac:dyDescent="0.3">
      <c r="A6" s="2">
        <v>43892</v>
      </c>
      <c r="B6" s="1" t="s">
        <v>28</v>
      </c>
      <c r="C6" s="1" t="s">
        <v>11</v>
      </c>
      <c r="D6" s="1" t="s">
        <v>29</v>
      </c>
      <c r="E6" s="1">
        <v>3</v>
      </c>
      <c r="F6" s="3">
        <v>12000</v>
      </c>
      <c r="G6" s="3">
        <v>30600</v>
      </c>
    </row>
    <row r="7" spans="1:7" x14ac:dyDescent="0.3">
      <c r="A7" s="2">
        <v>43905</v>
      </c>
      <c r="B7" s="1" t="s">
        <v>13</v>
      </c>
      <c r="C7" s="1" t="s">
        <v>14</v>
      </c>
      <c r="D7" s="1" t="s">
        <v>16</v>
      </c>
      <c r="E7" s="1">
        <v>6</v>
      </c>
      <c r="F7" s="3">
        <v>19800</v>
      </c>
      <c r="G7" s="3">
        <v>106920</v>
      </c>
    </row>
    <row r="8" spans="1:7" x14ac:dyDescent="0.3">
      <c r="A8" s="2">
        <v>43907</v>
      </c>
      <c r="B8" s="1" t="s">
        <v>22</v>
      </c>
      <c r="C8" s="1" t="s">
        <v>11</v>
      </c>
      <c r="D8" s="1" t="s">
        <v>23</v>
      </c>
      <c r="E8" s="1">
        <v>1</v>
      </c>
      <c r="F8" s="3">
        <v>10000</v>
      </c>
      <c r="G8" s="3">
        <v>8500</v>
      </c>
    </row>
    <row r="9" spans="1:7" x14ac:dyDescent="0.3">
      <c r="A9" s="2">
        <v>43913</v>
      </c>
      <c r="B9" s="1" t="s">
        <v>26</v>
      </c>
      <c r="C9" s="1" t="s">
        <v>20</v>
      </c>
      <c r="D9" s="1" t="s">
        <v>27</v>
      </c>
      <c r="E9" s="1">
        <v>4</v>
      </c>
      <c r="F9" s="3">
        <v>17000</v>
      </c>
      <c r="G9" s="3">
        <v>57800</v>
      </c>
    </row>
    <row r="10" spans="1:7" x14ac:dyDescent="0.3">
      <c r="A10" s="2">
        <v>43926</v>
      </c>
      <c r="B10" s="1" t="s">
        <v>18</v>
      </c>
      <c r="C10" s="1" t="s">
        <v>20</v>
      </c>
      <c r="D10" s="1" t="s">
        <v>21</v>
      </c>
      <c r="E10" s="1">
        <v>1</v>
      </c>
      <c r="F10" s="3">
        <v>19800</v>
      </c>
      <c r="G10" s="3">
        <v>18810</v>
      </c>
    </row>
    <row r="11" spans="1:7" x14ac:dyDescent="0.3">
      <c r="A11" s="2">
        <v>43926</v>
      </c>
      <c r="B11" s="1" t="s">
        <v>10</v>
      </c>
      <c r="C11" s="1" t="s">
        <v>11</v>
      </c>
      <c r="D11" s="1" t="s">
        <v>12</v>
      </c>
      <c r="E11" s="1">
        <v>1</v>
      </c>
      <c r="F11" s="3">
        <v>11000</v>
      </c>
      <c r="G11" s="3">
        <v>10450</v>
      </c>
    </row>
    <row r="12" spans="1:7" x14ac:dyDescent="0.3">
      <c r="A12" s="2">
        <v>43933</v>
      </c>
      <c r="B12" s="1" t="s">
        <v>24</v>
      </c>
      <c r="C12" s="1" t="s">
        <v>8</v>
      </c>
      <c r="D12" s="1" t="s">
        <v>25</v>
      </c>
      <c r="E12" s="1">
        <v>6</v>
      </c>
      <c r="F12" s="3">
        <v>2000</v>
      </c>
      <c r="G12" s="3">
        <v>11400</v>
      </c>
    </row>
    <row r="13" spans="1:7" x14ac:dyDescent="0.3">
      <c r="A13" s="2">
        <v>43936</v>
      </c>
      <c r="B13" s="1" t="s">
        <v>13</v>
      </c>
      <c r="C13" s="1" t="s">
        <v>8</v>
      </c>
      <c r="D13" s="1" t="s">
        <v>17</v>
      </c>
      <c r="E13" s="1">
        <v>10</v>
      </c>
      <c r="F13" s="3">
        <v>9900</v>
      </c>
      <c r="G13" s="3">
        <v>94050</v>
      </c>
    </row>
    <row r="14" spans="1:7" x14ac:dyDescent="0.3">
      <c r="A14" s="2">
        <v>43972</v>
      </c>
      <c r="B14" s="1" t="s">
        <v>30</v>
      </c>
      <c r="C14" s="1" t="s">
        <v>20</v>
      </c>
      <c r="D14" s="1" t="s">
        <v>31</v>
      </c>
      <c r="E14" s="1">
        <v>12</v>
      </c>
      <c r="F14" s="3">
        <v>22000</v>
      </c>
      <c r="G14" s="3">
        <v>250800</v>
      </c>
    </row>
  </sheetData>
  <phoneticPr fontId="1" type="noConversion"/>
  <dataValidations count="1">
    <dataValidation type="list" allowBlank="1" showInputMessage="1" showErrorMessage="1" errorTitle="오류" error="목록에서 선택하시오." promptTitle="입력" prompt="소설, 취미/레저, 컴퓨터, 사회과학 중 선택하십시오." sqref="C3:C14" xr:uid="{8B179418-C74F-458C-A707-E290722C2AF3}">
      <formula1>"소설,취미/레저,컴퓨터,사회과학"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7994-6167-4EAE-9BC0-364C5F5CE8EE}">
  <sheetPr codeName="Sheet6"/>
  <dimension ref="A1:G14"/>
  <sheetViews>
    <sheetView workbookViewId="0">
      <selection activeCell="C3" sqref="C3:C14"/>
    </sheetView>
  </sheetViews>
  <sheetFormatPr defaultRowHeight="16.5" x14ac:dyDescent="0.3"/>
  <cols>
    <col min="1" max="1" width="11.125" bestFit="1" customWidth="1"/>
    <col min="3" max="3" width="9.75" bestFit="1" customWidth="1"/>
    <col min="5" max="5" width="5.25" bestFit="1" customWidth="1"/>
    <col min="6" max="6" width="8.375" bestFit="1" customWidth="1"/>
    <col min="7" max="7" width="9.375" bestFit="1" customWidth="1"/>
  </cols>
  <sheetData>
    <row r="1" spans="1:7" x14ac:dyDescent="0.3">
      <c r="A1" t="s">
        <v>55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43831</v>
      </c>
      <c r="B3" s="1" t="s">
        <v>41</v>
      </c>
      <c r="C3" s="1" t="s">
        <v>20</v>
      </c>
      <c r="D3" s="1" t="s">
        <v>42</v>
      </c>
      <c r="E3" s="1">
        <v>8</v>
      </c>
      <c r="F3" s="3">
        <v>7000</v>
      </c>
      <c r="G3" s="3">
        <v>53200</v>
      </c>
    </row>
    <row r="4" spans="1:7" x14ac:dyDescent="0.3">
      <c r="A4" s="2">
        <v>43842</v>
      </c>
      <c r="B4" s="1" t="s">
        <v>32</v>
      </c>
      <c r="C4" s="1" t="s">
        <v>11</v>
      </c>
      <c r="D4" s="1" t="s">
        <v>33</v>
      </c>
      <c r="E4" s="1">
        <v>5</v>
      </c>
      <c r="F4" s="3">
        <v>9900</v>
      </c>
      <c r="G4" s="3">
        <v>47025</v>
      </c>
    </row>
    <row r="5" spans="1:7" x14ac:dyDescent="0.3">
      <c r="A5" s="2">
        <v>43852</v>
      </c>
      <c r="B5" s="1" t="s">
        <v>36</v>
      </c>
      <c r="C5" s="1" t="s">
        <v>20</v>
      </c>
      <c r="D5" s="1" t="s">
        <v>37</v>
      </c>
      <c r="E5" s="1">
        <v>7</v>
      </c>
      <c r="F5" s="3">
        <v>8800</v>
      </c>
      <c r="G5" s="3">
        <v>58520</v>
      </c>
    </row>
    <row r="6" spans="1:7" x14ac:dyDescent="0.3">
      <c r="A6" s="2">
        <v>43856</v>
      </c>
      <c r="B6" s="1" t="s">
        <v>34</v>
      </c>
      <c r="C6" s="1" t="s">
        <v>8</v>
      </c>
      <c r="D6" s="1" t="s">
        <v>35</v>
      </c>
      <c r="E6" s="1">
        <v>2</v>
      </c>
      <c r="F6" s="3">
        <v>15000</v>
      </c>
      <c r="G6" s="3">
        <v>28500</v>
      </c>
    </row>
    <row r="7" spans="1:7" x14ac:dyDescent="0.3">
      <c r="A7" s="2">
        <v>43864</v>
      </c>
      <c r="B7" s="1" t="s">
        <v>46</v>
      </c>
      <c r="C7" s="1" t="s">
        <v>8</v>
      </c>
      <c r="D7" s="1" t="s">
        <v>47</v>
      </c>
      <c r="E7" s="1">
        <v>8</v>
      </c>
      <c r="F7" s="3">
        <v>9900</v>
      </c>
      <c r="G7" s="3">
        <v>75240</v>
      </c>
    </row>
    <row r="8" spans="1:7" x14ac:dyDescent="0.3">
      <c r="A8" s="2">
        <v>43876</v>
      </c>
      <c r="B8" s="1" t="s">
        <v>39</v>
      </c>
      <c r="C8" s="1" t="s">
        <v>14</v>
      </c>
      <c r="D8" s="1" t="s">
        <v>15</v>
      </c>
      <c r="E8" s="1">
        <v>1</v>
      </c>
      <c r="F8" s="3">
        <v>17600</v>
      </c>
      <c r="G8" s="3">
        <v>15840</v>
      </c>
    </row>
    <row r="9" spans="1:7" x14ac:dyDescent="0.3">
      <c r="A9" s="2">
        <v>43895</v>
      </c>
      <c r="B9" s="1" t="s">
        <v>46</v>
      </c>
      <c r="C9" s="1" t="s">
        <v>20</v>
      </c>
      <c r="D9" s="1" t="s">
        <v>48</v>
      </c>
      <c r="E9" s="1">
        <v>5</v>
      </c>
      <c r="F9" s="3">
        <v>19800</v>
      </c>
      <c r="G9" s="3">
        <v>94050</v>
      </c>
    </row>
    <row r="10" spans="1:7" x14ac:dyDescent="0.3">
      <c r="A10" s="2">
        <v>43896</v>
      </c>
      <c r="B10" s="1" t="s">
        <v>44</v>
      </c>
      <c r="C10" s="1" t="s">
        <v>11</v>
      </c>
      <c r="D10" s="1" t="s">
        <v>45</v>
      </c>
      <c r="E10" s="1">
        <v>4</v>
      </c>
      <c r="F10" s="3">
        <v>11000</v>
      </c>
      <c r="G10" s="3">
        <v>41800</v>
      </c>
    </row>
    <row r="11" spans="1:7" x14ac:dyDescent="0.3">
      <c r="A11" s="2">
        <v>43912</v>
      </c>
      <c r="B11" s="1" t="s">
        <v>36</v>
      </c>
      <c r="C11" s="1" t="s">
        <v>14</v>
      </c>
      <c r="D11" s="1" t="s">
        <v>38</v>
      </c>
      <c r="E11" s="1">
        <v>9</v>
      </c>
      <c r="F11" s="3">
        <v>17600</v>
      </c>
      <c r="G11" s="3">
        <v>142560</v>
      </c>
    </row>
    <row r="12" spans="1:7" x14ac:dyDescent="0.3">
      <c r="A12" s="2">
        <v>43917</v>
      </c>
      <c r="B12" s="1" t="s">
        <v>39</v>
      </c>
      <c r="C12" s="1" t="s">
        <v>11</v>
      </c>
      <c r="D12" s="1" t="s">
        <v>40</v>
      </c>
      <c r="E12" s="1">
        <v>1</v>
      </c>
      <c r="F12" s="3">
        <v>8800</v>
      </c>
      <c r="G12" s="3">
        <v>8360</v>
      </c>
    </row>
    <row r="13" spans="1:7" x14ac:dyDescent="0.3">
      <c r="A13" s="2">
        <v>43935</v>
      </c>
      <c r="B13" s="1" t="s">
        <v>49</v>
      </c>
      <c r="C13" s="1" t="s">
        <v>11</v>
      </c>
      <c r="D13" s="1" t="s">
        <v>12</v>
      </c>
      <c r="E13" s="1">
        <v>7</v>
      </c>
      <c r="F13" s="3">
        <v>12000</v>
      </c>
      <c r="G13" s="3">
        <v>79800</v>
      </c>
    </row>
    <row r="14" spans="1:7" x14ac:dyDescent="0.3">
      <c r="A14" s="2">
        <v>43941</v>
      </c>
      <c r="B14" s="1" t="s">
        <v>41</v>
      </c>
      <c r="C14" s="1" t="s">
        <v>8</v>
      </c>
      <c r="D14" s="1" t="s">
        <v>43</v>
      </c>
      <c r="E14" s="1">
        <v>1</v>
      </c>
      <c r="F14" s="3">
        <v>15000</v>
      </c>
      <c r="G14" s="3">
        <v>14250</v>
      </c>
    </row>
  </sheetData>
  <phoneticPr fontId="1" type="noConversion"/>
  <dataValidations count="1">
    <dataValidation type="list" allowBlank="1" showInputMessage="1" showErrorMessage="1" errorTitle="오류" error="목록에서 선택하시오." promptTitle="입력" prompt="소설, 취미/레저, 컴퓨터, 사회과학 중 선택하십시오." sqref="C3:C14" xr:uid="{E9704CA9-00AD-4B50-BD34-95E1FDF9AC8C}">
      <formula1>"소설,취미/레저,컴퓨터,사회과학"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7"/>
  <dimension ref="A1:D30"/>
  <sheetViews>
    <sheetView workbookViewId="0">
      <selection activeCell="H43" sqref="H43"/>
    </sheetView>
  </sheetViews>
  <sheetFormatPr defaultRowHeight="16.5" outlineLevelRow="1" x14ac:dyDescent="0.3"/>
  <cols>
    <col min="1" max="1" width="9.75" bestFit="1" customWidth="1"/>
    <col min="2" max="2" width="6.5" customWidth="1"/>
    <col min="3" max="3" width="7" customWidth="1"/>
    <col min="4" max="4" width="9.375" bestFit="1" customWidth="1"/>
  </cols>
  <sheetData>
    <row r="1" spans="1:4" x14ac:dyDescent="0.3">
      <c r="A1" t="s">
        <v>56</v>
      </c>
    </row>
    <row r="2" spans="1:4" x14ac:dyDescent="0.3">
      <c r="A2" s="1" t="s">
        <v>2</v>
      </c>
      <c r="B2" s="1"/>
      <c r="C2" s="1" t="s">
        <v>4</v>
      </c>
      <c r="D2" s="1" t="s">
        <v>6</v>
      </c>
    </row>
    <row r="3" spans="1:4" hidden="1" outlineLevel="1" x14ac:dyDescent="0.3">
      <c r="A3" s="12"/>
      <c r="B3" s="12" t="s">
        <v>77</v>
      </c>
      <c r="C3" s="12">
        <f>오프라인!$E$3</f>
        <v>8</v>
      </c>
      <c r="D3" s="13">
        <f>오프라인!$G$3</f>
        <v>53200</v>
      </c>
    </row>
    <row r="4" spans="1:4" hidden="1" outlineLevel="1" collapsed="1" x14ac:dyDescent="0.3">
      <c r="A4" s="12"/>
      <c r="B4" s="12"/>
      <c r="C4" s="12">
        <f>오프라인!$E$5</f>
        <v>7</v>
      </c>
      <c r="D4" s="13">
        <f>오프라인!$G$5</f>
        <v>58520</v>
      </c>
    </row>
    <row r="5" spans="1:4" hidden="1" outlineLevel="1" collapsed="1" x14ac:dyDescent="0.3">
      <c r="A5" s="12"/>
      <c r="B5" s="12"/>
      <c r="C5" s="12">
        <f>오프라인!$E$9</f>
        <v>5</v>
      </c>
      <c r="D5" s="13">
        <f>오프라인!$G$9</f>
        <v>94050</v>
      </c>
    </row>
    <row r="6" spans="1:4" hidden="1" outlineLevel="1" collapsed="1" x14ac:dyDescent="0.3">
      <c r="A6" s="12"/>
      <c r="B6" s="12" t="s">
        <v>77</v>
      </c>
      <c r="C6" s="12">
        <f>온라인!$E$9</f>
        <v>4</v>
      </c>
      <c r="D6" s="13">
        <f>온라인!$G$9</f>
        <v>57800</v>
      </c>
    </row>
    <row r="7" spans="1:4" hidden="1" outlineLevel="1" collapsed="1" x14ac:dyDescent="0.3">
      <c r="A7" s="12"/>
      <c r="B7" s="12"/>
      <c r="C7" s="12">
        <f>온라인!$E$10</f>
        <v>1</v>
      </c>
      <c r="D7" s="13">
        <f>온라인!$G$10</f>
        <v>18810</v>
      </c>
    </row>
    <row r="8" spans="1:4" hidden="1" outlineLevel="1" collapsed="1" x14ac:dyDescent="0.3">
      <c r="A8" s="12"/>
      <c r="B8" s="12"/>
      <c r="C8" s="12">
        <f>온라인!$E$14</f>
        <v>12</v>
      </c>
      <c r="D8" s="13">
        <f>온라인!$G$14</f>
        <v>250800</v>
      </c>
    </row>
    <row r="9" spans="1:4" collapsed="1" x14ac:dyDescent="0.3">
      <c r="A9" t="s">
        <v>20</v>
      </c>
      <c r="C9">
        <f>MAX(C3:C8)</f>
        <v>12</v>
      </c>
      <c r="D9" s="14">
        <f>MAX(D3:D8)</f>
        <v>250800</v>
      </c>
    </row>
    <row r="10" spans="1:4" hidden="1" outlineLevel="1" x14ac:dyDescent="0.3">
      <c r="B10" t="s">
        <v>77</v>
      </c>
      <c r="C10">
        <f>오프라인!$E$4</f>
        <v>5</v>
      </c>
      <c r="D10" s="14">
        <f>오프라인!$G$4</f>
        <v>47025</v>
      </c>
    </row>
    <row r="11" spans="1:4" hidden="1" outlineLevel="1" collapsed="1" x14ac:dyDescent="0.3">
      <c r="C11">
        <f>오프라인!$E$10</f>
        <v>4</v>
      </c>
      <c r="D11" s="14">
        <f>오프라인!$G$10</f>
        <v>41800</v>
      </c>
    </row>
    <row r="12" spans="1:4" hidden="1" outlineLevel="1" collapsed="1" x14ac:dyDescent="0.3">
      <c r="C12">
        <f>오프라인!$E$12</f>
        <v>1</v>
      </c>
      <c r="D12" s="14">
        <f>오프라인!$G$12</f>
        <v>8360</v>
      </c>
    </row>
    <row r="13" spans="1:4" hidden="1" outlineLevel="1" collapsed="1" x14ac:dyDescent="0.3">
      <c r="C13">
        <f>오프라인!$E$13</f>
        <v>7</v>
      </c>
      <c r="D13" s="14">
        <f>오프라인!$G$13</f>
        <v>79800</v>
      </c>
    </row>
    <row r="14" spans="1:4" hidden="1" outlineLevel="1" collapsed="1" x14ac:dyDescent="0.3">
      <c r="B14" t="s">
        <v>77</v>
      </c>
      <c r="C14">
        <f>온라인!$E$6</f>
        <v>3</v>
      </c>
      <c r="D14" s="14">
        <f>온라인!$G$6</f>
        <v>30600</v>
      </c>
    </row>
    <row r="15" spans="1:4" hidden="1" outlineLevel="1" collapsed="1" x14ac:dyDescent="0.3">
      <c r="C15">
        <f>온라인!$E$8</f>
        <v>1</v>
      </c>
      <c r="D15" s="14">
        <f>온라인!$G$8</f>
        <v>8500</v>
      </c>
    </row>
    <row r="16" spans="1:4" hidden="1" outlineLevel="1" collapsed="1" x14ac:dyDescent="0.3">
      <c r="C16">
        <f>온라인!$E$11</f>
        <v>1</v>
      </c>
      <c r="D16" s="14">
        <f>온라인!$G$11</f>
        <v>10450</v>
      </c>
    </row>
    <row r="17" spans="1:4" collapsed="1" x14ac:dyDescent="0.3">
      <c r="A17" t="s">
        <v>11</v>
      </c>
      <c r="C17">
        <f>MAX(C10:C16)</f>
        <v>7</v>
      </c>
      <c r="D17" s="14">
        <f>MAX(D10:D16)</f>
        <v>79800</v>
      </c>
    </row>
    <row r="18" spans="1:4" hidden="1" outlineLevel="1" x14ac:dyDescent="0.3">
      <c r="B18" t="s">
        <v>77</v>
      </c>
      <c r="C18">
        <f>오프라인!$E$6</f>
        <v>2</v>
      </c>
      <c r="D18" s="14">
        <f>오프라인!$G$6</f>
        <v>28500</v>
      </c>
    </row>
    <row r="19" spans="1:4" hidden="1" outlineLevel="1" collapsed="1" x14ac:dyDescent="0.3">
      <c r="C19">
        <f>오프라인!$E$7</f>
        <v>8</v>
      </c>
      <c r="D19" s="14">
        <f>오프라인!$G$7</f>
        <v>75240</v>
      </c>
    </row>
    <row r="20" spans="1:4" hidden="1" outlineLevel="1" collapsed="1" x14ac:dyDescent="0.3">
      <c r="C20">
        <f>오프라인!$E$14</f>
        <v>1</v>
      </c>
      <c r="D20" s="14">
        <f>오프라인!$G$14</f>
        <v>14250</v>
      </c>
    </row>
    <row r="21" spans="1:4" hidden="1" outlineLevel="1" collapsed="1" x14ac:dyDescent="0.3">
      <c r="B21" t="s">
        <v>77</v>
      </c>
      <c r="C21">
        <f>온라인!$E$3</f>
        <v>10</v>
      </c>
      <c r="D21" s="14">
        <f>온라인!$G$3</f>
        <v>188100</v>
      </c>
    </row>
    <row r="22" spans="1:4" hidden="1" outlineLevel="1" collapsed="1" x14ac:dyDescent="0.3">
      <c r="C22">
        <f>온라인!$E$12</f>
        <v>6</v>
      </c>
      <c r="D22" s="14">
        <f>온라인!$G$12</f>
        <v>11400</v>
      </c>
    </row>
    <row r="23" spans="1:4" hidden="1" outlineLevel="1" collapsed="1" x14ac:dyDescent="0.3">
      <c r="C23">
        <f>온라인!$E$13</f>
        <v>10</v>
      </c>
      <c r="D23" s="14">
        <f>온라인!$G$13</f>
        <v>94050</v>
      </c>
    </row>
    <row r="24" spans="1:4" collapsed="1" x14ac:dyDescent="0.3">
      <c r="A24" t="s">
        <v>8</v>
      </c>
      <c r="C24">
        <f>MAX(C18:C23)</f>
        <v>10</v>
      </c>
      <c r="D24" s="14">
        <f>MAX(D18:D23)</f>
        <v>188100</v>
      </c>
    </row>
    <row r="25" spans="1:4" hidden="1" outlineLevel="1" x14ac:dyDescent="0.3">
      <c r="B25" t="s">
        <v>77</v>
      </c>
      <c r="C25">
        <f>오프라인!$E$8</f>
        <v>1</v>
      </c>
      <c r="D25" s="14">
        <f>오프라인!$G$8</f>
        <v>15840</v>
      </c>
    </row>
    <row r="26" spans="1:4" hidden="1" outlineLevel="1" collapsed="1" x14ac:dyDescent="0.3">
      <c r="C26">
        <f>오프라인!$E$11</f>
        <v>9</v>
      </c>
      <c r="D26" s="14">
        <f>오프라인!$G$11</f>
        <v>142560</v>
      </c>
    </row>
    <row r="27" spans="1:4" hidden="1" outlineLevel="1" collapsed="1" x14ac:dyDescent="0.3">
      <c r="B27" t="s">
        <v>77</v>
      </c>
      <c r="C27">
        <f>온라인!$E$4</f>
        <v>2</v>
      </c>
      <c r="D27" s="14">
        <f>온라인!$G$4</f>
        <v>35640</v>
      </c>
    </row>
    <row r="28" spans="1:4" hidden="1" outlineLevel="1" collapsed="1" x14ac:dyDescent="0.3">
      <c r="C28">
        <f>온라인!$E$5</f>
        <v>3</v>
      </c>
      <c r="D28" s="14">
        <f>온라인!$G$5</f>
        <v>26730</v>
      </c>
    </row>
    <row r="29" spans="1:4" hidden="1" outlineLevel="1" collapsed="1" x14ac:dyDescent="0.3">
      <c r="C29">
        <f>온라인!$E$7</f>
        <v>6</v>
      </c>
      <c r="D29" s="14">
        <f>온라인!$G$7</f>
        <v>106920</v>
      </c>
    </row>
    <row r="30" spans="1:4" collapsed="1" x14ac:dyDescent="0.3">
      <c r="A30" t="s">
        <v>14</v>
      </c>
      <c r="C30">
        <f>MAX(C25:C29)</f>
        <v>9</v>
      </c>
      <c r="D30" s="14">
        <f>MAX(D25:D29)</f>
        <v>142560</v>
      </c>
    </row>
  </sheetData>
  <dataConsolidate function="max" topLabels="1" link="1">
    <dataRefs count="2">
      <dataRef ref="C2:G14" sheet="오프라인"/>
      <dataRef ref="C2:G14" sheet="온라인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8"/>
  <dimension ref="B2:D7"/>
  <sheetViews>
    <sheetView workbookViewId="0">
      <selection activeCell="L19" sqref="L19"/>
    </sheetView>
  </sheetViews>
  <sheetFormatPr defaultRowHeight="16.5" x14ac:dyDescent="0.3"/>
  <cols>
    <col min="4" max="4" width="9.375" bestFit="1" customWidth="1"/>
  </cols>
  <sheetData>
    <row r="2" spans="2:4" x14ac:dyDescent="0.3">
      <c r="B2" t="s">
        <v>50</v>
      </c>
    </row>
    <row r="3" spans="2:4" x14ac:dyDescent="0.3">
      <c r="B3" s="1" t="s">
        <v>2</v>
      </c>
      <c r="C3" s="1" t="s">
        <v>4</v>
      </c>
      <c r="D3" s="1" t="s">
        <v>6</v>
      </c>
    </row>
    <row r="4" spans="2:4" x14ac:dyDescent="0.3">
      <c r="B4" s="1" t="s">
        <v>14</v>
      </c>
      <c r="C4" s="1">
        <v>21</v>
      </c>
      <c r="D4" s="3">
        <v>327690</v>
      </c>
    </row>
    <row r="5" spans="2:4" x14ac:dyDescent="0.3">
      <c r="B5" s="1" t="s">
        <v>20</v>
      </c>
      <c r="C5" s="1">
        <v>37</v>
      </c>
      <c r="D5" s="3">
        <v>533180</v>
      </c>
    </row>
    <row r="6" spans="2:4" x14ac:dyDescent="0.3">
      <c r="B6" s="1" t="s">
        <v>11</v>
      </c>
      <c r="C6" s="1">
        <v>22</v>
      </c>
      <c r="D6" s="3">
        <v>226535</v>
      </c>
    </row>
    <row r="7" spans="2:4" x14ac:dyDescent="0.3">
      <c r="B7" s="1" t="s">
        <v>8</v>
      </c>
      <c r="C7" s="1">
        <v>37</v>
      </c>
      <c r="D7" s="3">
        <v>411540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9"/>
  <dimension ref="B2:E12"/>
  <sheetViews>
    <sheetView workbookViewId="0">
      <selection activeCell="I23" sqref="I23"/>
    </sheetView>
  </sheetViews>
  <sheetFormatPr defaultRowHeight="16.5" x14ac:dyDescent="0.3"/>
  <cols>
    <col min="1" max="1" width="3.75" customWidth="1"/>
    <col min="3" max="3" width="10.375" customWidth="1"/>
    <col min="5" max="5" width="18.875" bestFit="1" customWidth="1"/>
    <col min="6" max="6" width="2" customWidth="1"/>
    <col min="7" max="7" width="10.875" customWidth="1"/>
  </cols>
  <sheetData>
    <row r="2" spans="2:5" x14ac:dyDescent="0.3">
      <c r="B2" s="1" t="s">
        <v>1</v>
      </c>
      <c r="C2" s="1" t="s">
        <v>2</v>
      </c>
      <c r="D2" s="1" t="s">
        <v>3</v>
      </c>
      <c r="E2" s="1" t="s">
        <v>53</v>
      </c>
    </row>
    <row r="3" spans="2:5" x14ac:dyDescent="0.3">
      <c r="B3" s="15" t="s">
        <v>13</v>
      </c>
      <c r="C3" s="1" t="s">
        <v>14</v>
      </c>
      <c r="D3" s="1" t="s">
        <v>16</v>
      </c>
      <c r="E3" s="16">
        <v>58800</v>
      </c>
    </row>
    <row r="4" spans="2:5" x14ac:dyDescent="0.3">
      <c r="B4" s="15" t="s">
        <v>22</v>
      </c>
      <c r="C4" s="1" t="s">
        <v>11</v>
      </c>
      <c r="D4" s="1" t="s">
        <v>23</v>
      </c>
      <c r="E4" s="16">
        <v>10000</v>
      </c>
    </row>
    <row r="5" spans="2:5" x14ac:dyDescent="0.3">
      <c r="B5" s="15" t="s">
        <v>36</v>
      </c>
      <c r="C5" s="1" t="s">
        <v>14</v>
      </c>
      <c r="D5" s="1" t="s">
        <v>38</v>
      </c>
      <c r="E5" s="16">
        <v>17600</v>
      </c>
    </row>
    <row r="6" spans="2:5" x14ac:dyDescent="0.3">
      <c r="B6" s="15" t="s">
        <v>39</v>
      </c>
      <c r="C6" s="1" t="s">
        <v>14</v>
      </c>
      <c r="D6" s="1" t="s">
        <v>15</v>
      </c>
      <c r="E6" s="16">
        <v>17600</v>
      </c>
    </row>
    <row r="7" spans="2:5" x14ac:dyDescent="0.3">
      <c r="B7" s="15" t="s">
        <v>7</v>
      </c>
      <c r="C7" s="1" t="s">
        <v>8</v>
      </c>
      <c r="D7" s="1" t="s">
        <v>9</v>
      </c>
      <c r="E7" s="16">
        <v>39800</v>
      </c>
    </row>
    <row r="8" spans="2:5" x14ac:dyDescent="0.3">
      <c r="B8" s="15" t="s">
        <v>41</v>
      </c>
      <c r="C8" s="1" t="s">
        <v>20</v>
      </c>
      <c r="D8" s="1" t="s">
        <v>42</v>
      </c>
      <c r="E8" s="16">
        <v>7000</v>
      </c>
    </row>
    <row r="9" spans="2:5" x14ac:dyDescent="0.3">
      <c r="B9" s="15" t="s">
        <v>49</v>
      </c>
      <c r="C9" s="1" t="s">
        <v>11</v>
      </c>
      <c r="D9" s="1" t="s">
        <v>12</v>
      </c>
      <c r="E9" s="16">
        <v>9900</v>
      </c>
    </row>
    <row r="10" spans="2:5" x14ac:dyDescent="0.3">
      <c r="B10" s="15" t="s">
        <v>18</v>
      </c>
      <c r="C10" s="1" t="s">
        <v>14</v>
      </c>
      <c r="D10" s="1" t="s">
        <v>19</v>
      </c>
      <c r="E10" s="16">
        <v>62800</v>
      </c>
    </row>
    <row r="11" spans="2:5" x14ac:dyDescent="0.3">
      <c r="B11" s="15" t="s">
        <v>26</v>
      </c>
      <c r="C11" s="1" t="s">
        <v>20</v>
      </c>
      <c r="D11" s="1" t="s">
        <v>27</v>
      </c>
      <c r="E11" s="16">
        <v>17000</v>
      </c>
    </row>
    <row r="12" spans="2:5" x14ac:dyDescent="0.3">
      <c r="B12" s="15" t="s">
        <v>32</v>
      </c>
      <c r="C12" s="1" t="s">
        <v>11</v>
      </c>
      <c r="D12" s="1" t="s">
        <v>33</v>
      </c>
      <c r="E12" s="16">
        <v>9900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존칭표시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할인표시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G21"/>
  <sheetViews>
    <sheetView workbookViewId="0">
      <selection activeCell="L15" sqref="L15"/>
    </sheetView>
  </sheetViews>
  <sheetFormatPr defaultRowHeight="16.5" x14ac:dyDescent="0.3"/>
  <cols>
    <col min="1" max="1" width="11.125" bestFit="1" customWidth="1"/>
  </cols>
  <sheetData>
    <row r="1" spans="1:7" x14ac:dyDescent="0.3">
      <c r="A1" t="s">
        <v>50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45244</v>
      </c>
      <c r="B3" s="1" t="s">
        <v>39</v>
      </c>
      <c r="C3" s="1" t="s">
        <v>14</v>
      </c>
      <c r="D3" s="1" t="s">
        <v>15</v>
      </c>
      <c r="E3" s="8">
        <v>1</v>
      </c>
      <c r="F3" s="8">
        <v>17600</v>
      </c>
      <c r="G3" s="8">
        <f>E3*F3</f>
        <v>17600</v>
      </c>
    </row>
    <row r="4" spans="1:7" x14ac:dyDescent="0.3">
      <c r="A4" s="2"/>
      <c r="B4" s="1"/>
      <c r="C4" s="1"/>
      <c r="D4" s="1"/>
      <c r="E4" s="8"/>
      <c r="F4" s="8"/>
      <c r="G4" s="8"/>
    </row>
    <row r="5" spans="1:7" x14ac:dyDescent="0.3">
      <c r="A5" s="2"/>
      <c r="B5" s="1"/>
      <c r="C5" s="1"/>
      <c r="D5" s="1"/>
      <c r="E5" s="8"/>
      <c r="F5" s="8"/>
      <c r="G5" s="8"/>
    </row>
    <row r="6" spans="1:7" x14ac:dyDescent="0.3">
      <c r="A6" s="2"/>
      <c r="B6" s="1"/>
      <c r="C6" s="1"/>
      <c r="D6" s="1"/>
      <c r="E6" s="8"/>
      <c r="F6" s="8"/>
      <c r="G6" s="8"/>
    </row>
    <row r="7" spans="1:7" x14ac:dyDescent="0.3">
      <c r="A7" s="2"/>
      <c r="B7" s="1"/>
      <c r="C7" s="1"/>
      <c r="D7" s="1"/>
      <c r="E7" s="8"/>
      <c r="F7" s="8"/>
      <c r="G7" s="8"/>
    </row>
    <row r="8" spans="1:7" x14ac:dyDescent="0.3">
      <c r="A8" s="2"/>
      <c r="B8" s="1"/>
      <c r="C8" s="1"/>
      <c r="D8" s="1"/>
      <c r="E8" s="8"/>
      <c r="F8" s="8"/>
      <c r="G8" s="8"/>
    </row>
    <row r="9" spans="1:7" x14ac:dyDescent="0.3">
      <c r="A9" s="2"/>
      <c r="B9" s="1"/>
      <c r="C9" s="1"/>
      <c r="D9" s="1"/>
      <c r="E9" s="8"/>
      <c r="F9" s="8"/>
      <c r="G9" s="8"/>
    </row>
    <row r="10" spans="1:7" x14ac:dyDescent="0.3">
      <c r="A10" s="2"/>
      <c r="B10" s="1"/>
      <c r="C10" s="1"/>
      <c r="D10" s="1"/>
      <c r="E10" s="8"/>
      <c r="F10" s="8"/>
      <c r="G10" s="8"/>
    </row>
    <row r="11" spans="1:7" x14ac:dyDescent="0.3">
      <c r="A11" s="2"/>
      <c r="B11" s="1"/>
      <c r="C11" s="1"/>
      <c r="D11" s="1"/>
      <c r="E11" s="8"/>
      <c r="F11" s="8"/>
      <c r="G11" s="8"/>
    </row>
    <row r="12" spans="1:7" x14ac:dyDescent="0.3">
      <c r="A12" s="2"/>
      <c r="B12" s="1"/>
      <c r="C12" s="1"/>
      <c r="D12" s="1"/>
      <c r="E12" s="8"/>
      <c r="F12" s="8"/>
      <c r="G12" s="8"/>
    </row>
    <row r="13" spans="1:7" x14ac:dyDescent="0.3">
      <c r="A13" s="2"/>
      <c r="B13" s="1"/>
      <c r="C13" s="1"/>
      <c r="D13" s="1"/>
      <c r="E13" s="8"/>
      <c r="F13" s="8"/>
      <c r="G13" s="8"/>
    </row>
    <row r="14" spans="1:7" x14ac:dyDescent="0.3">
      <c r="A14" s="2"/>
      <c r="B14" s="1"/>
      <c r="C14" s="1"/>
      <c r="D14" s="1"/>
      <c r="E14" s="8"/>
      <c r="F14" s="8"/>
      <c r="G14" s="8"/>
    </row>
    <row r="15" spans="1:7" x14ac:dyDescent="0.3">
      <c r="A15" s="2"/>
      <c r="B15" s="1"/>
      <c r="C15" s="1"/>
      <c r="D15" s="1"/>
      <c r="E15" s="8"/>
      <c r="F15" s="8"/>
      <c r="G15" s="8"/>
    </row>
    <row r="16" spans="1:7" x14ac:dyDescent="0.3">
      <c r="A16" s="2"/>
      <c r="B16" s="1"/>
      <c r="C16" s="1"/>
      <c r="D16" s="1"/>
      <c r="E16" s="8"/>
      <c r="F16" s="8"/>
      <c r="G16" s="8"/>
    </row>
    <row r="17" spans="1:7" x14ac:dyDescent="0.3">
      <c r="A17" s="2"/>
      <c r="B17" s="1"/>
      <c r="C17" s="1"/>
      <c r="D17" s="1"/>
      <c r="E17" s="8"/>
      <c r="F17" s="8"/>
      <c r="G17" s="8"/>
    </row>
    <row r="18" spans="1:7" x14ac:dyDescent="0.3">
      <c r="A18" s="2"/>
      <c r="B18" s="1"/>
      <c r="C18" s="1"/>
      <c r="D18" s="1"/>
      <c r="E18" s="8"/>
      <c r="F18" s="8"/>
      <c r="G18" s="8"/>
    </row>
    <row r="19" spans="1:7" x14ac:dyDescent="0.3">
      <c r="A19" s="2"/>
      <c r="B19" s="1"/>
      <c r="C19" s="1"/>
      <c r="D19" s="1"/>
      <c r="E19" s="8"/>
      <c r="F19" s="8"/>
      <c r="G19" s="8"/>
    </row>
    <row r="20" spans="1:7" x14ac:dyDescent="0.3">
      <c r="A20" s="2"/>
      <c r="B20" s="1"/>
      <c r="C20" s="1"/>
      <c r="D20" s="1"/>
      <c r="E20" s="8"/>
      <c r="F20" s="8"/>
      <c r="G20" s="8"/>
    </row>
    <row r="21" spans="1:7" x14ac:dyDescent="0.3">
      <c r="A21" s="2"/>
      <c r="B21" s="1"/>
      <c r="C21" s="1"/>
      <c r="D21" s="1"/>
      <c r="E21" s="8"/>
      <c r="F21" s="8"/>
      <c r="G21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</vt:lpstr>
      <vt:lpstr>계산작업</vt:lpstr>
      <vt:lpstr>분석작업-1</vt:lpstr>
      <vt:lpstr>온라인</vt:lpstr>
      <vt:lpstr>오프라인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2024-01-30T06:22:40Z</dcterms:modified>
</cp:coreProperties>
</file>