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6회\"/>
    </mc:Choice>
  </mc:AlternateContent>
  <xr:revisionPtr revIDLastSave="0" documentId="13_ncr:1_{573F321A-C0DE-4E6B-A105-04A02C6D5068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</calcChain>
</file>

<file path=xl/sharedStrings.xml><?xml version="1.0" encoding="utf-8"?>
<sst xmlns="http://schemas.openxmlformats.org/spreadsheetml/2006/main" count="343" uniqueCount="191">
  <si>
    <t>제품코드</t>
  </si>
  <si>
    <t>제품명</t>
  </si>
  <si>
    <t>제약회사</t>
  </si>
  <si>
    <t>단가</t>
  </si>
  <si>
    <t>등록일자</t>
  </si>
  <si>
    <t>실적</t>
  </si>
  <si>
    <t>A-156</t>
  </si>
  <si>
    <t>건웅 미소프로스톨정</t>
  </si>
  <si>
    <t>건웅제약</t>
  </si>
  <si>
    <t>B-160</t>
  </si>
  <si>
    <t>건웅파모티딘정20mg</t>
  </si>
  <si>
    <t>A-159</t>
  </si>
  <si>
    <t>건일로딘정100mg</t>
  </si>
  <si>
    <t>건일제약</t>
  </si>
  <si>
    <t>A-170</t>
  </si>
  <si>
    <t>경남염산라니티딘정300mg</t>
  </si>
  <si>
    <t>경남제약</t>
  </si>
  <si>
    <t>C-151</t>
  </si>
  <si>
    <t>그랜솔주 250ml(5%)</t>
  </si>
  <si>
    <t>한올제약</t>
  </si>
  <si>
    <t>D-324</t>
  </si>
  <si>
    <t>기넥신에프연질캅셀</t>
  </si>
  <si>
    <t>SK제약</t>
  </si>
  <si>
    <t>A-163</t>
  </si>
  <si>
    <t>게르시린현탁액</t>
  </si>
  <si>
    <t>경인제약</t>
  </si>
  <si>
    <t>A-174</t>
  </si>
  <si>
    <t>경인염화리소짐정90mg</t>
  </si>
  <si>
    <t>C-132</t>
  </si>
  <si>
    <t>고려은단파모티딘정20mg</t>
  </si>
  <si>
    <t>고려은단</t>
  </si>
  <si>
    <t>C-136</t>
  </si>
  <si>
    <t>광명피록시캄근육주사</t>
  </si>
  <si>
    <t>광명제약</t>
  </si>
  <si>
    <t>C-144</t>
  </si>
  <si>
    <t>국제세파드록실캅셀</t>
  </si>
  <si>
    <t>국제약품</t>
  </si>
  <si>
    <t>A-162</t>
  </si>
  <si>
    <t>게론-지현탁액</t>
  </si>
  <si>
    <t>C-150</t>
  </si>
  <si>
    <t>그랑파제삼중정</t>
  </si>
  <si>
    <t>안국약품</t>
  </si>
  <si>
    <t>C-148</t>
  </si>
  <si>
    <t>국제황산리보스타마이신주1g</t>
  </si>
  <si>
    <t>C-137</t>
  </si>
  <si>
    <t>구루메포민정250mg</t>
  </si>
  <si>
    <t>영풍제약</t>
  </si>
  <si>
    <t>A-150</t>
  </si>
  <si>
    <t>개비콘정</t>
  </si>
  <si>
    <t>유유산업</t>
  </si>
  <si>
    <t>D-328</t>
  </si>
  <si>
    <t>나나비놀캅셀</t>
  </si>
  <si>
    <t>보람제약</t>
  </si>
  <si>
    <t>D-338</t>
  </si>
  <si>
    <t>나리돌캅셀</t>
  </si>
  <si>
    <t>A-148</t>
  </si>
  <si>
    <t>개비콘액</t>
  </si>
  <si>
    <t>C-140</t>
  </si>
  <si>
    <t>구아브라신캅셀</t>
  </si>
  <si>
    <t>C-161</t>
  </si>
  <si>
    <t>그리코민정</t>
  </si>
  <si>
    <t>일성신약</t>
  </si>
  <si>
    <t>C-165</t>
  </si>
  <si>
    <t>그린시드정</t>
  </si>
  <si>
    <t>웰화이드코리아</t>
  </si>
  <si>
    <t>A-173</t>
  </si>
  <si>
    <t>경인아테놀올정50mg</t>
  </si>
  <si>
    <t>C-131</t>
  </si>
  <si>
    <t>고려 아시클로버크림</t>
  </si>
  <si>
    <t>고려제약</t>
  </si>
  <si>
    <t>C-134</t>
  </si>
  <si>
    <t>골둠주사</t>
  </si>
  <si>
    <t>극동제약</t>
  </si>
  <si>
    <t>A-166</t>
  </si>
  <si>
    <t>겐트리손크림</t>
  </si>
  <si>
    <t>신풍제약</t>
  </si>
  <si>
    <t>C-169</t>
  </si>
  <si>
    <t>극동 메토카르바몰정</t>
  </si>
  <si>
    <t>C-138</t>
  </si>
  <si>
    <t>구루메포민정500mg</t>
  </si>
  <si>
    <t>C-162</t>
  </si>
  <si>
    <t>그리콜정</t>
  </si>
  <si>
    <t>동광제약</t>
  </si>
  <si>
    <t>C-128</t>
  </si>
  <si>
    <t>계명노르플록사신캅셀</t>
  </si>
  <si>
    <t>A-140</t>
  </si>
  <si>
    <t>각시원정</t>
  </si>
  <si>
    <t>초당약품</t>
  </si>
  <si>
    <t>가네이드에프연질캅셀</t>
  </si>
  <si>
    <t>건웅 딜티아젬서방정 90mg</t>
  </si>
  <si>
    <t>건웅 소브레롤캅셀</t>
  </si>
  <si>
    <t>국제 니페디핀연질캅셀 10mg</t>
  </si>
  <si>
    <t>국제세포탁심나트륨주1g</t>
  </si>
  <si>
    <t>그랜솔주 500ml(5%)</t>
  </si>
  <si>
    <t>그린팜캅셀</t>
  </si>
  <si>
    <t>근화황산리보스타마이신주500mg</t>
  </si>
  <si>
    <t>글리슈린정</t>
  </si>
  <si>
    <t>나스란정20mg</t>
  </si>
  <si>
    <t>[표1]</t>
  </si>
  <si>
    <t>출시일자</t>
  </si>
  <si>
    <t>제품명2</t>
  </si>
  <si>
    <t>판매량</t>
  </si>
  <si>
    <t>금액</t>
  </si>
  <si>
    <t>비고</t>
  </si>
  <si>
    <t>건웅 로딘정 100mg</t>
  </si>
  <si>
    <t>국제 구루메포민정 250mg</t>
  </si>
  <si>
    <t>B-174</t>
  </si>
  <si>
    <t>경인 염화리소짐정 90mg</t>
  </si>
  <si>
    <t>C-124</t>
  </si>
  <si>
    <t>경인 파모티딘정 40mg</t>
  </si>
  <si>
    <t>D-170</t>
  </si>
  <si>
    <t>극동 테녹시캄정 20mg</t>
  </si>
  <si>
    <t>D-146</t>
  </si>
  <si>
    <t>아시클로버정 200mg</t>
  </si>
  <si>
    <t>파모티딘정 20mg</t>
  </si>
  <si>
    <t>단종</t>
  </si>
  <si>
    <t>국제 각시원정 10mg</t>
  </si>
  <si>
    <t>C-126</t>
  </si>
  <si>
    <t>염화리소짐정 90mg</t>
  </si>
  <si>
    <t>민중제약</t>
  </si>
  <si>
    <t>B-172</t>
  </si>
  <si>
    <t>아테놀올정 100mg</t>
  </si>
  <si>
    <t>B-161</t>
  </si>
  <si>
    <t>프로치온아미드정 250mg</t>
  </si>
  <si>
    <t>A-151</t>
  </si>
  <si>
    <t>노플록사신정 100mg</t>
  </si>
  <si>
    <t>A-153</t>
  </si>
  <si>
    <t>딜티아젬서방정 30mg</t>
  </si>
  <si>
    <t>A-160</t>
  </si>
  <si>
    <t>로딘정 200mg</t>
  </si>
  <si>
    <t>C-130</t>
  </si>
  <si>
    <t>염산라니티딘정 300mg</t>
  </si>
  <si>
    <t>A-154</t>
  </si>
  <si>
    <t>딜티아젬서방정 90mg</t>
  </si>
  <si>
    <t>A-141</t>
  </si>
  <si>
    <t>간필정 20mg</t>
  </si>
  <si>
    <t>D-142</t>
  </si>
  <si>
    <t>A-138</t>
  </si>
  <si>
    <t>가티링정 150mg</t>
  </si>
  <si>
    <t xml:space="preserve"> 미정 </t>
  </si>
  <si>
    <t>A-139</t>
  </si>
  <si>
    <t>국제 가티링정 300mg</t>
  </si>
  <si>
    <t>구루메포민정 500mg</t>
  </si>
  <si>
    <t>민중게로비솔주 10mg</t>
  </si>
  <si>
    <t>C-123</t>
  </si>
  <si>
    <t>경인 파모티딘정 20mg</t>
  </si>
  <si>
    <t>A-157</t>
  </si>
  <si>
    <t>건웅 미크로노마이신주사 60mg</t>
  </si>
  <si>
    <t>B-173</t>
  </si>
  <si>
    <t>아테놀올정 50mg</t>
  </si>
  <si>
    <t>D-344</t>
  </si>
  <si>
    <t>나릴정 50mg</t>
  </si>
  <si>
    <t>[표2] 가장 빨리 출시된 제품명</t>
  </si>
  <si>
    <t>[표3] 제약회사별 출시연도별 판매량 평균</t>
  </si>
  <si>
    <t>할인율</t>
  </si>
  <si>
    <t>아시클로버정</t>
  </si>
  <si>
    <t>파모티딘정</t>
  </si>
  <si>
    <t>◆</t>
  </si>
  <si>
    <t>◆◆</t>
  </si>
  <si>
    <t>◆◆◆◆</t>
  </si>
  <si>
    <t>판매그래프</t>
  </si>
  <si>
    <t>염화리소짐정</t>
  </si>
  <si>
    <t>아테놀올정</t>
  </si>
  <si>
    <t>목표실적</t>
  </si>
  <si>
    <t>판매실적</t>
  </si>
  <si>
    <t>달성률(%)</t>
  </si>
  <si>
    <t>코드</t>
  </si>
  <si>
    <t>품목</t>
  </si>
  <si>
    <t>구분</t>
  </si>
  <si>
    <t>CV-1002</t>
  </si>
  <si>
    <t>반코트</t>
  </si>
  <si>
    <t>MC-0901</t>
  </si>
  <si>
    <t>양복 한벌</t>
  </si>
  <si>
    <t>BT-0301</t>
  </si>
  <si>
    <t>블라우스</t>
  </si>
  <si>
    <t>GD-0502</t>
  </si>
  <si>
    <t>오리털이불</t>
  </si>
  <si>
    <t>AB-0202</t>
  </si>
  <si>
    <t>와이셔츠</t>
  </si>
  <si>
    <t>NC-0503</t>
  </si>
  <si>
    <t>니트류</t>
  </si>
  <si>
    <t>BS-0901</t>
  </si>
  <si>
    <t>여성 정장</t>
  </si>
  <si>
    <t>JL-1103</t>
  </si>
  <si>
    <t>가죽점퍼</t>
  </si>
  <si>
    <t>구매수량</t>
  </si>
  <si>
    <t>구매단가</t>
  </si>
  <si>
    <t>불량</t>
  </si>
  <si>
    <t>주문날짜</t>
  </si>
  <si>
    <t>주문수량</t>
  </si>
  <si>
    <t>납입금액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</si>
</sst>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b/>
      <sz val="11"/>
      <color indexed="8"/>
      <name val="맑은 고딕"/>
      <family val="3"/>
      <charset val="129"/>
    </font>
    <font>
      <sz val="1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6" fillId="0" borderId="0"/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5" fillId="0" borderId="1" xfId="2" applyFont="1" applyBorder="1" applyAlignment="1">
      <alignment horizontal="left"/>
    </xf>
    <xf numFmtId="41" fontId="0" fillId="0" borderId="1" xfId="0" applyNumberFormat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right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9" fontId="0" fillId="3" borderId="0" xfId="0" applyNumberFormat="1" applyFill="1">
      <alignment vertical="center"/>
    </xf>
    <xf numFmtId="0" fontId="0" fillId="3" borderId="1" xfId="0" applyFill="1" applyBorder="1" applyAlignment="1">
      <alignment horizontal="left" vertical="center"/>
    </xf>
    <xf numFmtId="41" fontId="0" fillId="3" borderId="1" xfId="0" applyNumberForma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 wrapText="1"/>
    </xf>
    <xf numFmtId="0" fontId="5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_계산작업" xfId="2" xr:uid="{AC652580-A904-4CA8-8C7D-A30EE2C9D3CA}"/>
    <cellStyle name="표준_문제" xfId="3" xr:uid="{66E33BAD-C286-4C6D-A86F-7B5D587F433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800" b="1">
                <a:solidFill>
                  <a:sysClr val="windowText" lastClr="000000"/>
                </a:solidFill>
              </a:rPr>
              <a:t>하반기 판매실적 및 달성률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판매실적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고려제약</c:v>
                </c:pt>
                <c:pt idx="1">
                  <c:v>광명제약</c:v>
                </c:pt>
                <c:pt idx="2">
                  <c:v>초당약품</c:v>
                </c:pt>
                <c:pt idx="3">
                  <c:v>한올제약</c:v>
                </c:pt>
                <c:pt idx="4">
                  <c:v>건일제약</c:v>
                </c:pt>
                <c:pt idx="5">
                  <c:v>경남제약</c:v>
                </c:pt>
                <c:pt idx="6">
                  <c:v>경인제약</c:v>
                </c:pt>
                <c:pt idx="7">
                  <c:v>고려은단</c:v>
                </c:pt>
              </c:strCache>
            </c:strRef>
          </c:cat>
          <c:val>
            <c:numRef>
              <c:f>'기타작업-1'!$D$3:$D$10</c:f>
              <c:numCache>
                <c:formatCode>_(* #,##0_);_(* \(#,##0\);_(* "-"_);_(@_)</c:formatCode>
                <c:ptCount val="8"/>
                <c:pt idx="0">
                  <c:v>13585</c:v>
                </c:pt>
                <c:pt idx="1">
                  <c:v>11445</c:v>
                </c:pt>
                <c:pt idx="2">
                  <c:v>27000</c:v>
                </c:pt>
                <c:pt idx="3">
                  <c:v>11220</c:v>
                </c:pt>
                <c:pt idx="4">
                  <c:v>9483</c:v>
                </c:pt>
                <c:pt idx="5">
                  <c:v>20350</c:v>
                </c:pt>
                <c:pt idx="6">
                  <c:v>33840</c:v>
                </c:pt>
                <c:pt idx="7">
                  <c:v>9430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2-45AC-9DFE-FFEEA99A0DA5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달성률(%)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고려제약</c:v>
                </c:pt>
                <c:pt idx="1">
                  <c:v>광명제약</c:v>
                </c:pt>
                <c:pt idx="2">
                  <c:v>초당약품</c:v>
                </c:pt>
                <c:pt idx="3">
                  <c:v>한올제약</c:v>
                </c:pt>
                <c:pt idx="4">
                  <c:v>건일제약</c:v>
                </c:pt>
                <c:pt idx="5">
                  <c:v>경남제약</c:v>
                </c:pt>
                <c:pt idx="6">
                  <c:v>경인제약</c:v>
                </c:pt>
                <c:pt idx="7">
                  <c:v>고려은단</c:v>
                </c:pt>
              </c:strCache>
            </c:strRef>
          </c:cat>
          <c:val>
            <c:numRef>
              <c:f>'기타작업-1'!$E$3:$E$10</c:f>
              <c:numCache>
                <c:formatCode>General</c:formatCode>
                <c:ptCount val="8"/>
                <c:pt idx="0">
                  <c:v>95</c:v>
                </c:pt>
                <c:pt idx="1">
                  <c:v>105</c:v>
                </c:pt>
                <c:pt idx="2">
                  <c:v>150</c:v>
                </c:pt>
                <c:pt idx="3">
                  <c:v>85</c:v>
                </c:pt>
                <c:pt idx="4">
                  <c:v>87</c:v>
                </c:pt>
                <c:pt idx="5">
                  <c:v>185</c:v>
                </c:pt>
                <c:pt idx="6">
                  <c:v>120</c:v>
                </c:pt>
                <c:pt idx="7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2-45AC-9DFE-FFEEA99A0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780495"/>
        <c:axId val="444510671"/>
      </c:barChart>
      <c:catAx>
        <c:axId val="47778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510671"/>
        <c:crosses val="autoZero"/>
        <c:auto val="1"/>
        <c:lblAlgn val="ctr"/>
        <c:lblOffset val="100"/>
        <c:noMultiLvlLbl val="0"/>
      </c:catAx>
      <c:valAx>
        <c:axId val="44451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778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0</xdr:row>
      <xdr:rowOff>123825</xdr:rowOff>
    </xdr:from>
    <xdr:to>
      <xdr:col>3</xdr:col>
      <xdr:colOff>247650</xdr:colOff>
      <xdr:row>2</xdr:row>
      <xdr:rowOff>123825</xdr:rowOff>
    </xdr:to>
    <xdr:sp macro="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" y="123825"/>
          <a:ext cx="2847975" cy="419100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chemeClr val="tx1"/>
              </a:solidFill>
            </a:rPr>
            <a:t>국제약품 회사의 판매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914400</xdr:colOff>
          <xdr:row>4</xdr:row>
          <xdr:rowOff>0</xdr:rowOff>
        </xdr:to>
        <xdr:sp macro="" textlink="">
          <xdr:nvSpPr>
            <xdr:cNvPr id="8193" name="cmd주문하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2:F33"/>
  <sheetViews>
    <sheetView tabSelected="1" workbookViewId="0"/>
  </sheetViews>
  <sheetFormatPr defaultRowHeight="16.5"/>
  <cols>
    <col min="2" max="2" width="25.5" customWidth="1"/>
    <col min="3" max="3" width="15.375" bestFit="1" customWidth="1"/>
    <col min="4" max="4" width="5.5" bestFit="1" customWidth="1"/>
    <col min="5" max="5" width="12.5" bestFit="1" customWidth="1"/>
    <col min="6" max="6" width="5.25" bestFit="1" customWidth="1"/>
  </cols>
  <sheetData>
    <row r="2" spans="1:6">
      <c r="A2" s="1" t="s">
        <v>0</v>
      </c>
      <c r="B2" s="1" t="s">
        <v>1</v>
      </c>
      <c r="C2" s="1" t="s">
        <v>2</v>
      </c>
      <c r="D2" s="1" t="s">
        <v>3</v>
      </c>
      <c r="E2" s="2" t="s">
        <v>4</v>
      </c>
      <c r="F2" s="1" t="s">
        <v>5</v>
      </c>
    </row>
    <row r="3" spans="1:6">
      <c r="A3" s="1" t="s">
        <v>6</v>
      </c>
      <c r="B3" s="3" t="s">
        <v>7</v>
      </c>
      <c r="C3" s="1" t="s">
        <v>8</v>
      </c>
      <c r="D3" s="1">
        <v>173</v>
      </c>
      <c r="E3" s="2">
        <v>43533</v>
      </c>
      <c r="F3" s="1">
        <v>297</v>
      </c>
    </row>
    <row r="4" spans="1:6">
      <c r="A4" s="1" t="s">
        <v>9</v>
      </c>
      <c r="B4" s="3" t="s">
        <v>10</v>
      </c>
      <c r="C4" s="1" t="s">
        <v>8</v>
      </c>
      <c r="D4" s="1">
        <v>39</v>
      </c>
      <c r="E4" s="2">
        <v>43533</v>
      </c>
      <c r="F4" s="1">
        <v>144</v>
      </c>
    </row>
    <row r="5" spans="1:6">
      <c r="A5" s="1" t="s">
        <v>11</v>
      </c>
      <c r="B5" s="3" t="s">
        <v>12</v>
      </c>
      <c r="C5" s="1" t="s">
        <v>13</v>
      </c>
      <c r="D5" s="1">
        <v>178</v>
      </c>
      <c r="E5" s="2">
        <v>43957</v>
      </c>
      <c r="F5" s="1">
        <v>115</v>
      </c>
    </row>
    <row r="6" spans="1:6">
      <c r="A6" s="1" t="s">
        <v>14</v>
      </c>
      <c r="B6" s="3" t="s">
        <v>15</v>
      </c>
      <c r="C6" s="1" t="s">
        <v>16</v>
      </c>
      <c r="D6" s="1">
        <v>139</v>
      </c>
      <c r="E6" s="2">
        <v>43957</v>
      </c>
      <c r="F6" s="1">
        <v>116</v>
      </c>
    </row>
    <row r="7" spans="1:6">
      <c r="A7" s="1" t="s">
        <v>17</v>
      </c>
      <c r="B7" s="3" t="s">
        <v>18</v>
      </c>
      <c r="C7" s="1" t="s">
        <v>19</v>
      </c>
      <c r="D7" s="1">
        <v>9103</v>
      </c>
      <c r="E7" s="2">
        <v>43957</v>
      </c>
      <c r="F7" s="1">
        <v>139</v>
      </c>
    </row>
    <row r="8" spans="1:6">
      <c r="A8" s="1" t="s">
        <v>20</v>
      </c>
      <c r="B8" s="3" t="s">
        <v>21</v>
      </c>
      <c r="C8" s="1" t="s">
        <v>22</v>
      </c>
      <c r="D8" s="1">
        <v>243</v>
      </c>
      <c r="E8" s="2">
        <v>43957</v>
      </c>
      <c r="F8" s="1">
        <v>268</v>
      </c>
    </row>
    <row r="9" spans="1:6">
      <c r="A9" s="1" t="s">
        <v>23</v>
      </c>
      <c r="B9" s="3" t="s">
        <v>24</v>
      </c>
      <c r="C9" s="1" t="s">
        <v>25</v>
      </c>
      <c r="D9" s="1">
        <v>120</v>
      </c>
      <c r="E9" s="2">
        <v>43957</v>
      </c>
      <c r="F9" s="1">
        <v>297</v>
      </c>
    </row>
    <row r="10" spans="1:6">
      <c r="A10" s="1" t="s">
        <v>26</v>
      </c>
      <c r="B10" s="3" t="s">
        <v>27</v>
      </c>
      <c r="C10" s="1" t="s">
        <v>25</v>
      </c>
      <c r="D10" s="1">
        <v>36</v>
      </c>
      <c r="E10" s="2">
        <v>43957</v>
      </c>
      <c r="F10" s="1">
        <v>118</v>
      </c>
    </row>
    <row r="11" spans="1:6">
      <c r="A11" s="1" t="s">
        <v>28</v>
      </c>
      <c r="B11" s="3" t="s">
        <v>29</v>
      </c>
      <c r="C11" s="1" t="s">
        <v>30</v>
      </c>
      <c r="D11" s="1">
        <v>66</v>
      </c>
      <c r="E11" s="2">
        <v>43957</v>
      </c>
      <c r="F11" s="1">
        <v>124</v>
      </c>
    </row>
    <row r="12" spans="1:6">
      <c r="A12" s="1" t="s">
        <v>31</v>
      </c>
      <c r="B12" s="3" t="s">
        <v>32</v>
      </c>
      <c r="C12" s="1" t="s">
        <v>33</v>
      </c>
      <c r="D12" s="1">
        <v>1160</v>
      </c>
      <c r="E12" s="2">
        <v>43957</v>
      </c>
      <c r="F12" s="1">
        <v>115</v>
      </c>
    </row>
    <row r="13" spans="1:6">
      <c r="A13" s="1" t="s">
        <v>34</v>
      </c>
      <c r="B13" s="3" t="s">
        <v>35</v>
      </c>
      <c r="C13" s="1" t="s">
        <v>36</v>
      </c>
      <c r="D13" s="1">
        <v>353</v>
      </c>
      <c r="E13" s="2">
        <v>43957</v>
      </c>
      <c r="F13" s="1">
        <v>89</v>
      </c>
    </row>
    <row r="14" spans="1:6">
      <c r="A14" s="1" t="s">
        <v>37</v>
      </c>
      <c r="B14" s="3" t="s">
        <v>38</v>
      </c>
      <c r="C14" s="1" t="s">
        <v>13</v>
      </c>
      <c r="D14" s="1">
        <v>182</v>
      </c>
      <c r="E14" s="2">
        <v>43533</v>
      </c>
      <c r="F14" s="1">
        <v>224</v>
      </c>
    </row>
    <row r="15" spans="1:6">
      <c r="A15" s="1" t="s">
        <v>39</v>
      </c>
      <c r="B15" s="3" t="s">
        <v>40</v>
      </c>
      <c r="C15" s="1" t="s">
        <v>41</v>
      </c>
      <c r="D15" s="1">
        <v>73</v>
      </c>
      <c r="E15" s="2">
        <v>43736</v>
      </c>
      <c r="F15" s="1">
        <v>144</v>
      </c>
    </row>
    <row r="16" spans="1:6">
      <c r="A16" s="1" t="s">
        <v>42</v>
      </c>
      <c r="B16" s="3" t="s">
        <v>43</v>
      </c>
      <c r="C16" s="1" t="s">
        <v>36</v>
      </c>
      <c r="D16" s="1">
        <v>881</v>
      </c>
      <c r="E16" s="2">
        <v>43957</v>
      </c>
      <c r="F16" s="1">
        <v>192</v>
      </c>
    </row>
    <row r="17" spans="1:6">
      <c r="A17" s="1" t="s">
        <v>44</v>
      </c>
      <c r="B17" s="3" t="s">
        <v>45</v>
      </c>
      <c r="C17" s="1" t="s">
        <v>46</v>
      </c>
      <c r="D17" s="1">
        <v>52</v>
      </c>
      <c r="E17" s="2">
        <v>43533</v>
      </c>
      <c r="F17" s="1">
        <v>129</v>
      </c>
    </row>
    <row r="18" spans="1:6">
      <c r="A18" s="1" t="s">
        <v>47</v>
      </c>
      <c r="B18" s="3" t="s">
        <v>48</v>
      </c>
      <c r="C18" s="1" t="s">
        <v>49</v>
      </c>
      <c r="D18" s="1">
        <v>45</v>
      </c>
      <c r="E18" s="2">
        <v>43533</v>
      </c>
      <c r="F18" s="1">
        <v>139</v>
      </c>
    </row>
    <row r="19" spans="1:6">
      <c r="A19" s="1" t="s">
        <v>50</v>
      </c>
      <c r="B19" s="3" t="s">
        <v>51</v>
      </c>
      <c r="C19" s="1" t="s">
        <v>52</v>
      </c>
      <c r="D19" s="1">
        <v>82</v>
      </c>
      <c r="E19" s="2">
        <v>43736</v>
      </c>
      <c r="F19" s="1">
        <v>118</v>
      </c>
    </row>
    <row r="20" spans="1:6">
      <c r="A20" s="1" t="s">
        <v>53</v>
      </c>
      <c r="B20" s="3" t="s">
        <v>54</v>
      </c>
      <c r="C20" s="1" t="s">
        <v>52</v>
      </c>
      <c r="D20" s="1">
        <v>96</v>
      </c>
      <c r="E20" s="2">
        <v>43736</v>
      </c>
      <c r="F20" s="1">
        <v>34</v>
      </c>
    </row>
    <row r="21" spans="1:6">
      <c r="A21" s="1" t="s">
        <v>55</v>
      </c>
      <c r="B21" s="3" t="s">
        <v>56</v>
      </c>
      <c r="C21" s="1" t="s">
        <v>49</v>
      </c>
      <c r="D21" s="1">
        <v>188</v>
      </c>
      <c r="E21" s="2">
        <v>43957</v>
      </c>
      <c r="F21" s="1">
        <v>127</v>
      </c>
    </row>
    <row r="22" spans="1:6">
      <c r="A22" s="1" t="s">
        <v>57</v>
      </c>
      <c r="B22" s="3" t="s">
        <v>58</v>
      </c>
      <c r="C22" s="1" t="s">
        <v>49</v>
      </c>
      <c r="D22" s="1">
        <v>220</v>
      </c>
      <c r="E22" s="2">
        <v>43957</v>
      </c>
      <c r="F22" s="1">
        <v>288</v>
      </c>
    </row>
    <row r="23" spans="1:6">
      <c r="A23" s="1" t="s">
        <v>59</v>
      </c>
      <c r="B23" s="3" t="s">
        <v>60</v>
      </c>
      <c r="C23" s="1" t="s">
        <v>61</v>
      </c>
      <c r="D23" s="1">
        <v>79</v>
      </c>
      <c r="E23" s="2">
        <v>43957</v>
      </c>
      <c r="F23" s="1">
        <v>288</v>
      </c>
    </row>
    <row r="24" spans="1:6">
      <c r="A24" s="1" t="s">
        <v>62</v>
      </c>
      <c r="B24" s="3" t="s">
        <v>63</v>
      </c>
      <c r="C24" s="1" t="s">
        <v>64</v>
      </c>
      <c r="D24" s="1">
        <v>164</v>
      </c>
      <c r="E24" s="2">
        <v>43736</v>
      </c>
      <c r="F24" s="1">
        <v>268</v>
      </c>
    </row>
    <row r="25" spans="1:6">
      <c r="A25" s="1" t="s">
        <v>65</v>
      </c>
      <c r="B25" s="3" t="s">
        <v>66</v>
      </c>
      <c r="C25" s="1" t="s">
        <v>25</v>
      </c>
      <c r="D25" s="1">
        <v>103</v>
      </c>
      <c r="E25" s="2">
        <v>43533</v>
      </c>
      <c r="F25" s="1">
        <v>89</v>
      </c>
    </row>
    <row r="26" spans="1:6">
      <c r="A26" s="1" t="s">
        <v>67</v>
      </c>
      <c r="B26" s="3" t="s">
        <v>68</v>
      </c>
      <c r="C26" s="1" t="s">
        <v>69</v>
      </c>
      <c r="D26" s="1">
        <v>709</v>
      </c>
      <c r="E26" s="2">
        <v>43533</v>
      </c>
      <c r="F26" s="1">
        <v>151</v>
      </c>
    </row>
    <row r="27" spans="1:6">
      <c r="A27" s="1" t="s">
        <v>70</v>
      </c>
      <c r="B27" s="3" t="s">
        <v>71</v>
      </c>
      <c r="C27" s="1" t="s">
        <v>72</v>
      </c>
      <c r="D27" s="1">
        <v>3530</v>
      </c>
      <c r="E27" s="2">
        <v>43533</v>
      </c>
      <c r="F27" s="1">
        <v>297</v>
      </c>
    </row>
    <row r="28" spans="1:6">
      <c r="A28" s="1" t="s">
        <v>73</v>
      </c>
      <c r="B28" s="3" t="s">
        <v>74</v>
      </c>
      <c r="C28" s="1" t="s">
        <v>75</v>
      </c>
      <c r="D28" s="1">
        <v>56</v>
      </c>
      <c r="E28" s="2">
        <v>43736</v>
      </c>
      <c r="F28" s="1">
        <v>129</v>
      </c>
    </row>
    <row r="29" spans="1:6">
      <c r="A29" s="1" t="s">
        <v>76</v>
      </c>
      <c r="B29" s="3" t="s">
        <v>77</v>
      </c>
      <c r="C29" s="1" t="s">
        <v>72</v>
      </c>
      <c r="D29" s="1">
        <v>114</v>
      </c>
      <c r="E29" s="2">
        <v>42861</v>
      </c>
      <c r="F29" s="1">
        <v>118</v>
      </c>
    </row>
    <row r="30" spans="1:6">
      <c r="A30" s="1" t="s">
        <v>78</v>
      </c>
      <c r="B30" s="3" t="s">
        <v>79</v>
      </c>
      <c r="C30" s="1" t="s">
        <v>46</v>
      </c>
      <c r="D30" s="1">
        <v>70</v>
      </c>
      <c r="E30" s="2">
        <v>42861</v>
      </c>
      <c r="F30" s="1">
        <v>288</v>
      </c>
    </row>
    <row r="31" spans="1:6">
      <c r="A31" s="1" t="s">
        <v>80</v>
      </c>
      <c r="B31" s="3" t="s">
        <v>81</v>
      </c>
      <c r="C31" s="1" t="s">
        <v>82</v>
      </c>
      <c r="D31" s="1">
        <v>88</v>
      </c>
      <c r="E31" s="2">
        <v>42438</v>
      </c>
      <c r="F31" s="1">
        <v>89</v>
      </c>
    </row>
    <row r="32" spans="1:6">
      <c r="A32" s="1" t="s">
        <v>83</v>
      </c>
      <c r="B32" s="3" t="s">
        <v>84</v>
      </c>
      <c r="C32" s="1" t="s">
        <v>52</v>
      </c>
      <c r="D32" s="1">
        <v>237</v>
      </c>
      <c r="E32" s="2">
        <v>42438</v>
      </c>
      <c r="F32" s="1">
        <v>139</v>
      </c>
    </row>
    <row r="33" spans="1:6">
      <c r="A33" s="1" t="s">
        <v>85</v>
      </c>
      <c r="B33" s="3" t="s">
        <v>86</v>
      </c>
      <c r="C33" s="1" t="s">
        <v>87</v>
      </c>
      <c r="D33" s="1">
        <v>42</v>
      </c>
      <c r="E33" s="2">
        <v>42861</v>
      </c>
      <c r="F33" s="1">
        <v>190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4:D19"/>
  <sheetViews>
    <sheetView workbookViewId="0"/>
  </sheetViews>
  <sheetFormatPr defaultRowHeight="16.5"/>
  <cols>
    <col min="1" max="1" width="5.125" customWidth="1"/>
    <col min="2" max="2" width="31.875" bestFit="1" customWidth="1"/>
  </cols>
  <sheetData>
    <row r="4" spans="2:4">
      <c r="B4" s="4" t="s">
        <v>1</v>
      </c>
      <c r="C4" s="5" t="s">
        <v>3</v>
      </c>
      <c r="D4" s="6" t="s">
        <v>5</v>
      </c>
    </row>
    <row r="5" spans="2:4">
      <c r="B5" s="7" t="s">
        <v>88</v>
      </c>
      <c r="C5" s="8">
        <v>165</v>
      </c>
      <c r="D5" s="9">
        <v>150</v>
      </c>
    </row>
    <row r="6" spans="2:4">
      <c r="B6" s="7" t="s">
        <v>86</v>
      </c>
      <c r="C6" s="8">
        <v>42</v>
      </c>
      <c r="D6" s="9">
        <v>190</v>
      </c>
    </row>
    <row r="7" spans="2:4">
      <c r="B7" s="7" t="s">
        <v>48</v>
      </c>
      <c r="C7" s="8">
        <v>45</v>
      </c>
      <c r="D7" s="9">
        <v>139</v>
      </c>
    </row>
    <row r="8" spans="2:4">
      <c r="B8" s="7" t="s">
        <v>89</v>
      </c>
      <c r="C8" s="8">
        <v>159</v>
      </c>
      <c r="D8" s="9">
        <v>124</v>
      </c>
    </row>
    <row r="9" spans="2:4">
      <c r="B9" s="7" t="s">
        <v>90</v>
      </c>
      <c r="C9" s="8">
        <v>54</v>
      </c>
      <c r="D9" s="9">
        <v>129</v>
      </c>
    </row>
    <row r="10" spans="2:4">
      <c r="B10" s="7" t="s">
        <v>24</v>
      </c>
      <c r="C10" s="8">
        <v>120</v>
      </c>
      <c r="D10" s="9">
        <v>297</v>
      </c>
    </row>
    <row r="11" spans="2:4">
      <c r="B11" s="7" t="s">
        <v>91</v>
      </c>
      <c r="C11" s="8">
        <v>111</v>
      </c>
      <c r="D11" s="9">
        <v>268</v>
      </c>
    </row>
    <row r="12" spans="2:4">
      <c r="B12" s="7" t="s">
        <v>92</v>
      </c>
      <c r="C12" s="8">
        <v>4996</v>
      </c>
      <c r="D12" s="9">
        <v>118</v>
      </c>
    </row>
    <row r="13" spans="2:4">
      <c r="B13" s="7" t="s">
        <v>93</v>
      </c>
      <c r="C13" s="8">
        <v>15459</v>
      </c>
      <c r="D13" s="9">
        <v>134</v>
      </c>
    </row>
    <row r="14" spans="2:4">
      <c r="B14" s="7" t="s">
        <v>94</v>
      </c>
      <c r="C14" s="8">
        <v>448</v>
      </c>
      <c r="D14" s="9">
        <v>89</v>
      </c>
    </row>
    <row r="15" spans="2:4">
      <c r="B15" s="7" t="s">
        <v>77</v>
      </c>
      <c r="C15" s="8">
        <v>114</v>
      </c>
      <c r="D15" s="9">
        <v>118</v>
      </c>
    </row>
    <row r="16" spans="2:4">
      <c r="B16" s="7" t="s">
        <v>95</v>
      </c>
      <c r="C16" s="8">
        <v>441</v>
      </c>
      <c r="D16" s="9">
        <v>151</v>
      </c>
    </row>
    <row r="17" spans="2:4">
      <c r="B17" s="7" t="s">
        <v>96</v>
      </c>
      <c r="C17" s="8">
        <v>51</v>
      </c>
      <c r="D17" s="9">
        <v>89</v>
      </c>
    </row>
    <row r="18" spans="2:4">
      <c r="B18" s="7" t="s">
        <v>51</v>
      </c>
      <c r="C18" s="8">
        <v>82</v>
      </c>
      <c r="D18" s="9">
        <v>118</v>
      </c>
    </row>
    <row r="19" spans="2:4">
      <c r="B19" s="7" t="s">
        <v>97</v>
      </c>
      <c r="C19" s="8">
        <v>165</v>
      </c>
      <c r="D19" s="9">
        <v>165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I35"/>
  <sheetViews>
    <sheetView workbookViewId="0"/>
  </sheetViews>
  <sheetFormatPr defaultRowHeight="16.5"/>
  <cols>
    <col min="2" max="2" width="11.125" bestFit="1" customWidth="1"/>
    <col min="3" max="3" width="29.25" customWidth="1"/>
    <col min="4" max="4" width="10" customWidth="1"/>
    <col min="5" max="5" width="29.375" customWidth="1"/>
    <col min="6" max="6" width="9.375" bestFit="1" customWidth="1"/>
    <col min="7" max="7" width="7.125" bestFit="1" customWidth="1"/>
    <col min="8" max="8" width="12.375" bestFit="1" customWidth="1"/>
    <col min="9" max="9" width="11" bestFit="1" customWidth="1"/>
  </cols>
  <sheetData>
    <row r="1" spans="1:9">
      <c r="A1" t="s">
        <v>98</v>
      </c>
    </row>
    <row r="2" spans="1:9">
      <c r="A2" s="1" t="s">
        <v>0</v>
      </c>
      <c r="B2" s="2" t="s">
        <v>99</v>
      </c>
      <c r="C2" s="1" t="s">
        <v>1</v>
      </c>
      <c r="D2" s="1" t="s">
        <v>2</v>
      </c>
      <c r="E2" s="10" t="s">
        <v>100</v>
      </c>
      <c r="F2" s="1" t="s">
        <v>3</v>
      </c>
      <c r="G2" s="1" t="s">
        <v>101</v>
      </c>
      <c r="H2" s="10" t="s">
        <v>102</v>
      </c>
      <c r="I2" s="10" t="s">
        <v>103</v>
      </c>
    </row>
    <row r="3" spans="1:9">
      <c r="A3" s="1" t="s">
        <v>11</v>
      </c>
      <c r="B3" s="2">
        <v>43512</v>
      </c>
      <c r="C3" s="3" t="s">
        <v>104</v>
      </c>
      <c r="D3" s="1" t="s">
        <v>8</v>
      </c>
      <c r="E3" s="11"/>
      <c r="F3" s="12">
        <v>178000</v>
      </c>
      <c r="G3" s="1">
        <v>115</v>
      </c>
      <c r="H3" s="13"/>
      <c r="I3" s="1"/>
    </row>
    <row r="4" spans="1:9">
      <c r="A4" s="1" t="s">
        <v>44</v>
      </c>
      <c r="B4" s="2">
        <v>43564</v>
      </c>
      <c r="C4" s="3" t="s">
        <v>105</v>
      </c>
      <c r="D4" s="1" t="s">
        <v>36</v>
      </c>
      <c r="E4" s="11"/>
      <c r="F4" s="12">
        <v>59000</v>
      </c>
      <c r="G4" s="1">
        <v>129</v>
      </c>
      <c r="H4" s="13"/>
      <c r="I4" s="1"/>
    </row>
    <row r="5" spans="1:9">
      <c r="A5" s="1" t="s">
        <v>106</v>
      </c>
      <c r="B5" s="2">
        <v>43591</v>
      </c>
      <c r="C5" s="3" t="s">
        <v>107</v>
      </c>
      <c r="D5" s="1" t="s">
        <v>25</v>
      </c>
      <c r="E5" s="11"/>
      <c r="F5" s="12">
        <v>52000</v>
      </c>
      <c r="G5" s="1">
        <v>118</v>
      </c>
      <c r="H5" s="13"/>
      <c r="I5" s="1"/>
    </row>
    <row r="6" spans="1:9">
      <c r="A6" s="1" t="s">
        <v>108</v>
      </c>
      <c r="B6" s="2">
        <v>44102</v>
      </c>
      <c r="C6" s="3" t="s">
        <v>109</v>
      </c>
      <c r="D6" s="1" t="s">
        <v>25</v>
      </c>
      <c r="E6" s="11"/>
      <c r="F6" s="12">
        <v>119000</v>
      </c>
      <c r="G6" s="1">
        <v>89</v>
      </c>
      <c r="H6" s="13"/>
      <c r="I6" s="1"/>
    </row>
    <row r="7" spans="1:9">
      <c r="A7" s="1" t="s">
        <v>110</v>
      </c>
      <c r="B7" s="2">
        <v>43103</v>
      </c>
      <c r="C7" s="3" t="s">
        <v>111</v>
      </c>
      <c r="D7" s="1" t="s">
        <v>36</v>
      </c>
      <c r="E7" s="11"/>
      <c r="F7" s="12">
        <v>312000</v>
      </c>
      <c r="G7" s="1">
        <v>89</v>
      </c>
      <c r="H7" s="13"/>
      <c r="I7" s="1"/>
    </row>
    <row r="8" spans="1:9">
      <c r="A8" s="1" t="s">
        <v>112</v>
      </c>
      <c r="B8" s="2">
        <v>43309</v>
      </c>
      <c r="C8" s="3" t="s">
        <v>113</v>
      </c>
      <c r="D8" s="1" t="s">
        <v>36</v>
      </c>
      <c r="E8" s="11"/>
      <c r="F8" s="12">
        <v>458000</v>
      </c>
      <c r="G8" s="1">
        <v>118</v>
      </c>
      <c r="H8" s="13"/>
      <c r="I8" s="1"/>
    </row>
    <row r="9" spans="1:9">
      <c r="A9" s="1" t="s">
        <v>9</v>
      </c>
      <c r="B9" s="2">
        <v>36959</v>
      </c>
      <c r="C9" s="3" t="s">
        <v>114</v>
      </c>
      <c r="D9" s="1" t="s">
        <v>8</v>
      </c>
      <c r="E9" s="11"/>
      <c r="F9" s="12">
        <v>39000</v>
      </c>
      <c r="G9" s="1" t="s">
        <v>115</v>
      </c>
      <c r="H9" s="13"/>
      <c r="I9" s="1"/>
    </row>
    <row r="10" spans="1:9">
      <c r="A10" s="1" t="s">
        <v>85</v>
      </c>
      <c r="B10" s="2">
        <v>43928</v>
      </c>
      <c r="C10" s="3" t="s">
        <v>116</v>
      </c>
      <c r="D10" s="1" t="s">
        <v>36</v>
      </c>
      <c r="E10" s="11"/>
      <c r="F10" s="12">
        <v>42000</v>
      </c>
      <c r="G10" s="1">
        <v>190</v>
      </c>
      <c r="H10" s="13"/>
      <c r="I10" s="1"/>
    </row>
    <row r="11" spans="1:9">
      <c r="A11" s="1" t="s">
        <v>117</v>
      </c>
      <c r="B11" s="2">
        <v>44082</v>
      </c>
      <c r="C11" s="3" t="s">
        <v>118</v>
      </c>
      <c r="D11" s="1" t="s">
        <v>119</v>
      </c>
      <c r="E11" s="11"/>
      <c r="F11" s="12">
        <v>62000</v>
      </c>
      <c r="G11" s="1">
        <v>105</v>
      </c>
      <c r="H11" s="13"/>
      <c r="I11" s="1"/>
    </row>
    <row r="12" spans="1:9">
      <c r="A12" s="1" t="s">
        <v>120</v>
      </c>
      <c r="B12" s="2">
        <v>43645</v>
      </c>
      <c r="C12" s="3" t="s">
        <v>121</v>
      </c>
      <c r="D12" s="1" t="s">
        <v>25</v>
      </c>
      <c r="E12" s="11"/>
      <c r="F12" s="12">
        <v>155000</v>
      </c>
      <c r="G12" s="1">
        <v>103</v>
      </c>
      <c r="H12" s="13"/>
      <c r="I12" s="1"/>
    </row>
    <row r="13" spans="1:9">
      <c r="A13" s="1" t="s">
        <v>122</v>
      </c>
      <c r="B13" s="2">
        <v>43683</v>
      </c>
      <c r="C13" s="3" t="s">
        <v>123</v>
      </c>
      <c r="D13" s="1" t="s">
        <v>8</v>
      </c>
      <c r="E13" s="11"/>
      <c r="F13" s="12">
        <v>80000</v>
      </c>
      <c r="G13" s="1">
        <v>139</v>
      </c>
      <c r="H13" s="13"/>
      <c r="I13" s="1"/>
    </row>
    <row r="14" spans="1:9">
      <c r="A14" s="1" t="s">
        <v>124</v>
      </c>
      <c r="B14" s="2">
        <v>43892</v>
      </c>
      <c r="C14" s="3" t="s">
        <v>125</v>
      </c>
      <c r="D14" s="1" t="s">
        <v>8</v>
      </c>
      <c r="E14" s="11"/>
      <c r="F14" s="12">
        <v>125000</v>
      </c>
      <c r="G14" s="1">
        <v>134</v>
      </c>
      <c r="H14" s="13"/>
      <c r="I14" s="1"/>
    </row>
    <row r="15" spans="1:9">
      <c r="A15" s="1" t="s">
        <v>126</v>
      </c>
      <c r="B15" s="2">
        <v>43736</v>
      </c>
      <c r="C15" s="3" t="s">
        <v>127</v>
      </c>
      <c r="D15" s="1" t="s">
        <v>8</v>
      </c>
      <c r="E15" s="11"/>
      <c r="F15" s="12">
        <v>53000</v>
      </c>
      <c r="G15" s="1">
        <v>151</v>
      </c>
      <c r="H15" s="13"/>
      <c r="I15" s="1"/>
    </row>
    <row r="16" spans="1:9">
      <c r="A16" s="1" t="s">
        <v>128</v>
      </c>
      <c r="B16" s="2">
        <v>43239</v>
      </c>
      <c r="C16" s="3" t="s">
        <v>129</v>
      </c>
      <c r="D16" s="1" t="s">
        <v>8</v>
      </c>
      <c r="E16" s="11"/>
      <c r="F16" s="12">
        <v>235000</v>
      </c>
      <c r="G16" s="1">
        <v>151</v>
      </c>
      <c r="H16" s="13"/>
      <c r="I16" s="1"/>
    </row>
    <row r="17" spans="1:9">
      <c r="A17" s="1" t="s">
        <v>130</v>
      </c>
      <c r="B17" s="2">
        <v>43260</v>
      </c>
      <c r="C17" s="3" t="s">
        <v>131</v>
      </c>
      <c r="D17" s="1" t="s">
        <v>119</v>
      </c>
      <c r="E17" s="11"/>
      <c r="F17" s="12">
        <v>242000</v>
      </c>
      <c r="G17" s="1">
        <v>115</v>
      </c>
      <c r="H17" s="13"/>
      <c r="I17" s="1"/>
    </row>
    <row r="18" spans="1:9">
      <c r="A18" s="1" t="s">
        <v>132</v>
      </c>
      <c r="B18" s="2">
        <v>43870</v>
      </c>
      <c r="C18" s="3" t="s">
        <v>133</v>
      </c>
      <c r="D18" s="1" t="s">
        <v>8</v>
      </c>
      <c r="E18" s="11"/>
      <c r="F18" s="12">
        <v>159000</v>
      </c>
      <c r="G18" s="1">
        <v>124</v>
      </c>
      <c r="H18" s="13"/>
      <c r="I18" s="1"/>
    </row>
    <row r="19" spans="1:9">
      <c r="A19" s="1" t="s">
        <v>134</v>
      </c>
      <c r="B19" s="2">
        <v>43156</v>
      </c>
      <c r="C19" s="3" t="s">
        <v>135</v>
      </c>
      <c r="D19" s="1" t="s">
        <v>119</v>
      </c>
      <c r="E19" s="11"/>
      <c r="F19" s="12">
        <v>161000</v>
      </c>
      <c r="G19" s="1">
        <v>126</v>
      </c>
      <c r="H19" s="13"/>
      <c r="I19" s="1"/>
    </row>
    <row r="20" spans="1:9">
      <c r="A20" s="1" t="s">
        <v>136</v>
      </c>
      <c r="B20" s="2">
        <v>43173</v>
      </c>
      <c r="C20" s="3" t="s">
        <v>91</v>
      </c>
      <c r="D20" s="1" t="s">
        <v>36</v>
      </c>
      <c r="E20" s="11"/>
      <c r="F20" s="12">
        <v>111000</v>
      </c>
      <c r="G20" s="1">
        <v>268</v>
      </c>
      <c r="H20" s="13"/>
      <c r="I20" s="1"/>
    </row>
    <row r="21" spans="1:9">
      <c r="A21" s="1" t="s">
        <v>137</v>
      </c>
      <c r="B21" s="2">
        <v>43165</v>
      </c>
      <c r="C21" s="3" t="s">
        <v>138</v>
      </c>
      <c r="D21" s="1" t="s">
        <v>119</v>
      </c>
      <c r="E21" s="11"/>
      <c r="F21" s="12" t="s">
        <v>139</v>
      </c>
      <c r="G21" s="1"/>
      <c r="H21" s="13"/>
      <c r="I21" s="1"/>
    </row>
    <row r="22" spans="1:9">
      <c r="A22" s="1" t="s">
        <v>140</v>
      </c>
      <c r="B22" s="2">
        <v>43102</v>
      </c>
      <c r="C22" s="3" t="s">
        <v>141</v>
      </c>
      <c r="D22" s="1" t="s">
        <v>36</v>
      </c>
      <c r="E22" s="11"/>
      <c r="F22" s="12">
        <v>243000</v>
      </c>
      <c r="G22" s="1">
        <v>164</v>
      </c>
      <c r="H22" s="13"/>
      <c r="I22" s="1"/>
    </row>
    <row r="23" spans="1:9">
      <c r="A23" s="1" t="s">
        <v>78</v>
      </c>
      <c r="B23" s="2">
        <v>43957</v>
      </c>
      <c r="C23" s="3" t="s">
        <v>142</v>
      </c>
      <c r="D23" s="1" t="s">
        <v>36</v>
      </c>
      <c r="E23" s="11"/>
      <c r="F23" s="12">
        <v>70000</v>
      </c>
      <c r="G23" s="1">
        <v>288</v>
      </c>
      <c r="H23" s="13"/>
      <c r="I23" s="1"/>
    </row>
    <row r="24" spans="1:9">
      <c r="A24" s="1" t="s">
        <v>122</v>
      </c>
      <c r="B24" s="2">
        <v>43675</v>
      </c>
      <c r="C24" s="3" t="s">
        <v>143</v>
      </c>
      <c r="D24" s="1" t="s">
        <v>119</v>
      </c>
      <c r="E24" s="11"/>
      <c r="F24" s="12">
        <v>69710</v>
      </c>
      <c r="G24" s="1">
        <v>124</v>
      </c>
      <c r="H24" s="13"/>
      <c r="I24" s="1"/>
    </row>
    <row r="25" spans="1:9">
      <c r="A25" s="1" t="s">
        <v>144</v>
      </c>
      <c r="B25" s="2">
        <v>43286</v>
      </c>
      <c r="C25" s="3" t="s">
        <v>145</v>
      </c>
      <c r="D25" s="1" t="s">
        <v>25</v>
      </c>
      <c r="E25" s="11"/>
      <c r="F25" s="12">
        <v>66000</v>
      </c>
      <c r="G25" s="1">
        <v>118</v>
      </c>
      <c r="H25" s="13"/>
      <c r="I25" s="1"/>
    </row>
    <row r="26" spans="1:9">
      <c r="A26" s="1" t="s">
        <v>146</v>
      </c>
      <c r="B26" s="2">
        <v>36652</v>
      </c>
      <c r="C26" s="3" t="s">
        <v>147</v>
      </c>
      <c r="D26" s="1" t="s">
        <v>8</v>
      </c>
      <c r="E26" s="11"/>
      <c r="F26" s="12">
        <v>15790</v>
      </c>
      <c r="G26" s="1" t="s">
        <v>115</v>
      </c>
      <c r="H26" s="13"/>
      <c r="I26" s="1"/>
    </row>
    <row r="27" spans="1:9">
      <c r="A27" s="1" t="s">
        <v>148</v>
      </c>
      <c r="B27" s="2">
        <v>43533</v>
      </c>
      <c r="C27" s="3" t="s">
        <v>149</v>
      </c>
      <c r="D27" s="1" t="s">
        <v>25</v>
      </c>
      <c r="E27" s="11"/>
      <c r="F27" s="12">
        <v>10300</v>
      </c>
      <c r="G27" s="1">
        <v>89</v>
      </c>
      <c r="H27" s="13"/>
      <c r="I27" s="1"/>
    </row>
    <row r="28" spans="1:9">
      <c r="A28" s="1" t="s">
        <v>150</v>
      </c>
      <c r="B28" s="2">
        <v>43187</v>
      </c>
      <c r="C28" s="3" t="s">
        <v>151</v>
      </c>
      <c r="D28" s="1" t="s">
        <v>36</v>
      </c>
      <c r="E28" s="11"/>
      <c r="F28" s="12" t="s">
        <v>139</v>
      </c>
      <c r="G28" s="1"/>
      <c r="H28" s="13"/>
      <c r="I28" s="1"/>
    </row>
    <row r="30" spans="1:9">
      <c r="A30" t="s">
        <v>152</v>
      </c>
      <c r="E30" t="s">
        <v>153</v>
      </c>
    </row>
    <row r="31" spans="1:9">
      <c r="A31" s="24" t="s">
        <v>1</v>
      </c>
      <c r="B31" s="25"/>
      <c r="C31" s="26"/>
      <c r="E31" s="1" t="s">
        <v>2</v>
      </c>
      <c r="F31" s="10">
        <v>2018</v>
      </c>
      <c r="G31" s="10">
        <v>2019</v>
      </c>
      <c r="H31" s="10">
        <v>2020</v>
      </c>
    </row>
    <row r="32" spans="1:9">
      <c r="A32" s="27"/>
      <c r="B32" s="28"/>
      <c r="C32" s="29"/>
      <c r="E32" s="1" t="s">
        <v>8</v>
      </c>
      <c r="F32" s="14"/>
      <c r="G32" s="14"/>
      <c r="H32" s="14"/>
    </row>
    <row r="33" spans="5:8">
      <c r="E33" s="1" t="s">
        <v>25</v>
      </c>
      <c r="F33" s="14"/>
      <c r="G33" s="14"/>
      <c r="H33" s="14"/>
    </row>
    <row r="34" spans="5:8">
      <c r="E34" s="1" t="s">
        <v>36</v>
      </c>
      <c r="F34" s="14"/>
      <c r="G34" s="14"/>
      <c r="H34" s="14"/>
    </row>
    <row r="35" spans="5:8">
      <c r="E35" s="1" t="s">
        <v>119</v>
      </c>
      <c r="F35" s="14"/>
      <c r="G35" s="14"/>
      <c r="H35" s="14"/>
    </row>
  </sheetData>
  <mergeCells count="2">
    <mergeCell ref="A31:C31"/>
    <mergeCell ref="A32:C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2:G8"/>
  <sheetViews>
    <sheetView workbookViewId="0"/>
  </sheetViews>
  <sheetFormatPr defaultRowHeight="16.5"/>
  <cols>
    <col min="2" max="2" width="13" bestFit="1" customWidth="1"/>
    <col min="4" max="4" width="9.375" bestFit="1" customWidth="1"/>
    <col min="5" max="5" width="8.625" customWidth="1"/>
    <col min="6" max="6" width="11" bestFit="1" customWidth="1"/>
    <col min="7" max="7" width="10.875" bestFit="1" customWidth="1"/>
  </cols>
  <sheetData>
    <row r="2" spans="1:7">
      <c r="A2" t="s">
        <v>98</v>
      </c>
      <c r="E2" s="15"/>
      <c r="F2" s="15" t="s">
        <v>154</v>
      </c>
      <c r="G2" s="16">
        <v>0.12</v>
      </c>
    </row>
    <row r="3" spans="1:7">
      <c r="A3" s="1" t="s">
        <v>0</v>
      </c>
      <c r="B3" s="1" t="s">
        <v>1</v>
      </c>
      <c r="C3" s="1" t="s">
        <v>2</v>
      </c>
      <c r="D3" s="1" t="s">
        <v>3</v>
      </c>
      <c r="E3" s="1" t="s">
        <v>101</v>
      </c>
      <c r="F3" s="1" t="s">
        <v>160</v>
      </c>
      <c r="G3" s="1" t="s">
        <v>102</v>
      </c>
    </row>
    <row r="4" spans="1:7">
      <c r="A4" s="1" t="s">
        <v>112</v>
      </c>
      <c r="B4" s="17" t="s">
        <v>155</v>
      </c>
      <c r="C4" s="10" t="s">
        <v>36</v>
      </c>
      <c r="D4" s="18">
        <v>458000</v>
      </c>
      <c r="E4" s="10">
        <v>11</v>
      </c>
      <c r="F4" s="10" t="s">
        <v>157</v>
      </c>
      <c r="G4" s="18">
        <f>D4*E4*(1-$G$2)</f>
        <v>4433440</v>
      </c>
    </row>
    <row r="5" spans="1:7">
      <c r="A5" s="1" t="s">
        <v>9</v>
      </c>
      <c r="B5" s="3" t="s">
        <v>156</v>
      </c>
      <c r="C5" s="1" t="s">
        <v>8</v>
      </c>
      <c r="D5" s="12">
        <v>39000</v>
      </c>
      <c r="E5" s="1">
        <v>12</v>
      </c>
      <c r="F5" s="1" t="s">
        <v>157</v>
      </c>
      <c r="G5" s="12">
        <f>D5*E5*(1-$G$2)</f>
        <v>411840</v>
      </c>
    </row>
    <row r="6" spans="1:7">
      <c r="A6" s="1" t="s">
        <v>85</v>
      </c>
      <c r="B6" s="3" t="s">
        <v>86</v>
      </c>
      <c r="C6" s="1" t="s">
        <v>36</v>
      </c>
      <c r="D6" s="12">
        <v>42000</v>
      </c>
      <c r="E6" s="1">
        <v>23</v>
      </c>
      <c r="F6" s="1" t="s">
        <v>158</v>
      </c>
      <c r="G6" s="12">
        <f>D6*E6*(1-$G$2)</f>
        <v>850080</v>
      </c>
    </row>
    <row r="7" spans="1:7">
      <c r="A7" s="1" t="s">
        <v>117</v>
      </c>
      <c r="B7" s="3" t="s">
        <v>161</v>
      </c>
      <c r="C7" s="1" t="s">
        <v>119</v>
      </c>
      <c r="D7" s="12">
        <v>62000</v>
      </c>
      <c r="E7" s="1">
        <v>15</v>
      </c>
      <c r="F7" s="1" t="s">
        <v>157</v>
      </c>
      <c r="G7" s="12">
        <f>D7*E7*(1-$G$2)</f>
        <v>818400</v>
      </c>
    </row>
    <row r="8" spans="1:7">
      <c r="A8" s="1" t="s">
        <v>120</v>
      </c>
      <c r="B8" s="3" t="s">
        <v>162</v>
      </c>
      <c r="C8" s="1" t="s">
        <v>25</v>
      </c>
      <c r="D8" s="12">
        <v>155000</v>
      </c>
      <c r="E8" s="1">
        <v>42</v>
      </c>
      <c r="F8" s="1" t="s">
        <v>159</v>
      </c>
      <c r="G8" s="12">
        <f>D8*E8*(1-$G$2)</f>
        <v>5728800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B2:E10"/>
  <sheetViews>
    <sheetView workbookViewId="0"/>
  </sheetViews>
  <sheetFormatPr defaultRowHeight="16.5"/>
  <sheetData>
    <row r="2" spans="2:5">
      <c r="B2" s="1" t="s">
        <v>2</v>
      </c>
      <c r="C2" s="1" t="s">
        <v>163</v>
      </c>
      <c r="D2" s="1" t="s">
        <v>164</v>
      </c>
      <c r="E2" s="1" t="s">
        <v>165</v>
      </c>
    </row>
    <row r="3" spans="2:5">
      <c r="B3" s="1" t="s">
        <v>69</v>
      </c>
      <c r="C3" s="12">
        <v>14300</v>
      </c>
      <c r="D3" s="12">
        <v>13585</v>
      </c>
      <c r="E3" s="1">
        <v>95</v>
      </c>
    </row>
    <row r="4" spans="2:5">
      <c r="B4" s="1" t="s">
        <v>33</v>
      </c>
      <c r="C4" s="12">
        <v>10900</v>
      </c>
      <c r="D4" s="12">
        <v>11445</v>
      </c>
      <c r="E4" s="1">
        <v>105</v>
      </c>
    </row>
    <row r="5" spans="2:5">
      <c r="B5" s="1" t="s">
        <v>87</v>
      </c>
      <c r="C5" s="12">
        <v>18000</v>
      </c>
      <c r="D5" s="12">
        <v>27000</v>
      </c>
      <c r="E5" s="1">
        <v>150</v>
      </c>
    </row>
    <row r="6" spans="2:5">
      <c r="B6" s="1" t="s">
        <v>19</v>
      </c>
      <c r="C6" s="12">
        <v>13200</v>
      </c>
      <c r="D6" s="12">
        <v>11220</v>
      </c>
      <c r="E6" s="1">
        <v>85</v>
      </c>
    </row>
    <row r="7" spans="2:5">
      <c r="B7" s="1" t="s">
        <v>13</v>
      </c>
      <c r="C7" s="12">
        <v>10900</v>
      </c>
      <c r="D7" s="12">
        <v>9483</v>
      </c>
      <c r="E7" s="1">
        <v>87</v>
      </c>
    </row>
    <row r="8" spans="2:5">
      <c r="B8" s="1" t="s">
        <v>16</v>
      </c>
      <c r="C8" s="12">
        <v>11000</v>
      </c>
      <c r="D8" s="12">
        <v>20350</v>
      </c>
      <c r="E8" s="1">
        <v>185</v>
      </c>
    </row>
    <row r="9" spans="2:5">
      <c r="B9" s="1" t="s">
        <v>25</v>
      </c>
      <c r="C9" s="12">
        <v>28200</v>
      </c>
      <c r="D9" s="12">
        <v>33840</v>
      </c>
      <c r="E9" s="1">
        <v>120</v>
      </c>
    </row>
    <row r="10" spans="2:5">
      <c r="B10" s="1" t="s">
        <v>30</v>
      </c>
      <c r="C10" s="12">
        <v>11700</v>
      </c>
      <c r="D10" s="12">
        <v>9430</v>
      </c>
      <c r="E10" s="1">
        <v>124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2:F10"/>
  <sheetViews>
    <sheetView workbookViewId="0"/>
  </sheetViews>
  <sheetFormatPr defaultRowHeight="16.5"/>
  <cols>
    <col min="1" max="1" width="3" customWidth="1"/>
    <col min="2" max="2" width="10" customWidth="1"/>
    <col min="3" max="3" width="11" customWidth="1"/>
    <col min="4" max="4" width="8.125" customWidth="1"/>
    <col min="5" max="5" width="12.625" customWidth="1"/>
    <col min="6" max="6" width="13.25" customWidth="1"/>
  </cols>
  <sheetData>
    <row r="2" spans="2:6">
      <c r="B2" s="19" t="s">
        <v>166</v>
      </c>
      <c r="C2" s="19" t="s">
        <v>167</v>
      </c>
      <c r="D2" s="20" t="s">
        <v>168</v>
      </c>
      <c r="E2" s="20" t="s">
        <v>185</v>
      </c>
      <c r="F2" s="20" t="s">
        <v>186</v>
      </c>
    </row>
    <row r="3" spans="2:6">
      <c r="B3" s="21" t="s">
        <v>169</v>
      </c>
      <c r="C3" s="22" t="s">
        <v>170</v>
      </c>
      <c r="D3" s="21">
        <v>1</v>
      </c>
      <c r="E3" s="23">
        <v>5</v>
      </c>
      <c r="F3" s="23">
        <v>124000</v>
      </c>
    </row>
    <row r="4" spans="2:6">
      <c r="B4" s="21" t="s">
        <v>171</v>
      </c>
      <c r="C4" s="22" t="s">
        <v>172</v>
      </c>
      <c r="D4" s="21" t="s">
        <v>187</v>
      </c>
      <c r="E4" s="23">
        <v>2</v>
      </c>
      <c r="F4" s="23">
        <v>299000</v>
      </c>
    </row>
    <row r="5" spans="2:6">
      <c r="B5" s="21" t="s">
        <v>173</v>
      </c>
      <c r="C5" s="22" t="s">
        <v>174</v>
      </c>
      <c r="D5" s="21">
        <v>-1</v>
      </c>
      <c r="E5" s="23">
        <v>5</v>
      </c>
      <c r="F5" s="23">
        <v>54000</v>
      </c>
    </row>
    <row r="6" spans="2:6">
      <c r="B6" s="21" t="s">
        <v>175</v>
      </c>
      <c r="C6" s="22" t="s">
        <v>176</v>
      </c>
      <c r="D6" s="21">
        <v>0</v>
      </c>
      <c r="E6" s="23">
        <v>4</v>
      </c>
      <c r="F6" s="23">
        <v>990000</v>
      </c>
    </row>
    <row r="7" spans="2:6">
      <c r="B7" s="21" t="s">
        <v>177</v>
      </c>
      <c r="C7" s="22" t="s">
        <v>178</v>
      </c>
      <c r="D7" s="21">
        <v>1</v>
      </c>
      <c r="E7" s="23">
        <v>9</v>
      </c>
      <c r="F7" s="23">
        <v>250000</v>
      </c>
    </row>
    <row r="8" spans="2:6">
      <c r="B8" s="21" t="s">
        <v>179</v>
      </c>
      <c r="C8" s="22" t="s">
        <v>180</v>
      </c>
      <c r="D8" s="21">
        <v>0</v>
      </c>
      <c r="E8" s="23">
        <v>10</v>
      </c>
      <c r="F8" s="23">
        <v>85000</v>
      </c>
    </row>
    <row r="9" spans="2:6">
      <c r="B9" s="21" t="s">
        <v>181</v>
      </c>
      <c r="C9" s="22" t="s">
        <v>182</v>
      </c>
      <c r="D9" s="21">
        <v>-1</v>
      </c>
      <c r="E9" s="23">
        <v>21</v>
      </c>
      <c r="F9" s="23">
        <v>342000</v>
      </c>
    </row>
    <row r="10" spans="2:6">
      <c r="B10" s="21" t="s">
        <v>183</v>
      </c>
      <c r="C10" s="22" t="s">
        <v>184</v>
      </c>
      <c r="D10" s="21">
        <v>1</v>
      </c>
      <c r="E10" s="23">
        <v>2</v>
      </c>
      <c r="F10" s="23">
        <v>450000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3:L24"/>
  <sheetViews>
    <sheetView workbookViewId="0"/>
  </sheetViews>
  <sheetFormatPr defaultRowHeight="16.5"/>
  <cols>
    <col min="1" max="1" width="11.125" bestFit="1" customWidth="1"/>
    <col min="3" max="3" width="26.375" customWidth="1"/>
    <col min="4" max="4" width="14.75" customWidth="1"/>
    <col min="7" max="7" width="12.875" customWidth="1"/>
    <col min="8" max="8" width="6.75" customWidth="1"/>
    <col min="10" max="10" width="25.625" bestFit="1" customWidth="1"/>
  </cols>
  <sheetData>
    <row r="3" spans="1:12">
      <c r="A3" t="s">
        <v>98</v>
      </c>
    </row>
    <row r="4" spans="1:12">
      <c r="A4" s="1" t="s">
        <v>188</v>
      </c>
      <c r="B4" s="1" t="s">
        <v>0</v>
      </c>
      <c r="C4" s="1" t="s">
        <v>1</v>
      </c>
      <c r="D4" s="1" t="s">
        <v>2</v>
      </c>
      <c r="E4" s="1" t="s">
        <v>3</v>
      </c>
      <c r="F4" s="1" t="s">
        <v>189</v>
      </c>
      <c r="G4" s="1" t="s">
        <v>190</v>
      </c>
    </row>
    <row r="5" spans="1:12">
      <c r="A5" s="2">
        <v>45244</v>
      </c>
      <c r="B5" s="1" t="s">
        <v>20</v>
      </c>
      <c r="C5" s="3" t="s">
        <v>21</v>
      </c>
      <c r="D5" s="1" t="s">
        <v>22</v>
      </c>
      <c r="E5" s="14">
        <v>243</v>
      </c>
      <c r="F5" s="14">
        <v>10</v>
      </c>
      <c r="G5" s="14">
        <v>2430</v>
      </c>
    </row>
    <row r="6" spans="1:12">
      <c r="A6" s="2">
        <v>45244</v>
      </c>
      <c r="B6" s="1" t="s">
        <v>11</v>
      </c>
      <c r="C6" s="3" t="s">
        <v>12</v>
      </c>
      <c r="D6" s="1" t="s">
        <v>13</v>
      </c>
      <c r="E6" s="14">
        <v>178</v>
      </c>
      <c r="F6" s="14">
        <v>25</v>
      </c>
      <c r="G6" s="14">
        <v>4450</v>
      </c>
    </row>
    <row r="7" spans="1:12">
      <c r="A7" s="2"/>
      <c r="B7" s="1"/>
      <c r="C7" s="3"/>
      <c r="D7" s="1"/>
      <c r="E7" s="14"/>
      <c r="F7" s="14"/>
      <c r="G7" s="14"/>
      <c r="I7" s="1" t="s">
        <v>0</v>
      </c>
      <c r="J7" s="1" t="s">
        <v>1</v>
      </c>
      <c r="K7" s="1" t="s">
        <v>2</v>
      </c>
      <c r="L7" s="1" t="s">
        <v>3</v>
      </c>
    </row>
    <row r="8" spans="1:12">
      <c r="A8" s="2"/>
      <c r="B8" s="1"/>
      <c r="C8" s="3"/>
      <c r="D8" s="1"/>
      <c r="E8" s="14"/>
      <c r="F8" s="14"/>
      <c r="G8" s="14"/>
      <c r="I8" s="1" t="s">
        <v>20</v>
      </c>
      <c r="J8" s="14" t="s">
        <v>21</v>
      </c>
      <c r="K8" s="1" t="s">
        <v>22</v>
      </c>
      <c r="L8" s="1">
        <v>243</v>
      </c>
    </row>
    <row r="9" spans="1:12">
      <c r="A9" s="2"/>
      <c r="B9" s="1"/>
      <c r="C9" s="3"/>
      <c r="D9" s="1"/>
      <c r="E9" s="14"/>
      <c r="F9" s="14"/>
      <c r="G9" s="14"/>
      <c r="I9" s="1" t="s">
        <v>6</v>
      </c>
      <c r="J9" s="14" t="s">
        <v>7</v>
      </c>
      <c r="K9" s="1" t="s">
        <v>8</v>
      </c>
      <c r="L9" s="1">
        <v>173</v>
      </c>
    </row>
    <row r="10" spans="1:12">
      <c r="A10" s="2"/>
      <c r="B10" s="1"/>
      <c r="C10" s="3"/>
      <c r="D10" s="1"/>
      <c r="E10" s="14"/>
      <c r="F10" s="14"/>
      <c r="G10" s="14"/>
      <c r="I10" s="1" t="s">
        <v>11</v>
      </c>
      <c r="J10" s="14" t="s">
        <v>12</v>
      </c>
      <c r="K10" s="1" t="s">
        <v>13</v>
      </c>
      <c r="L10" s="1">
        <v>178</v>
      </c>
    </row>
    <row r="11" spans="1:12">
      <c r="A11" s="2"/>
      <c r="B11" s="1"/>
      <c r="C11" s="3"/>
      <c r="D11" s="1"/>
      <c r="E11" s="14"/>
      <c r="F11" s="14"/>
      <c r="G11" s="14"/>
      <c r="I11" s="1" t="s">
        <v>14</v>
      </c>
      <c r="J11" s="14" t="s">
        <v>15</v>
      </c>
      <c r="K11" s="1" t="s">
        <v>16</v>
      </c>
      <c r="L11" s="1">
        <v>139</v>
      </c>
    </row>
    <row r="12" spans="1:12">
      <c r="A12" s="2"/>
      <c r="B12" s="1"/>
      <c r="C12" s="3"/>
      <c r="D12" s="1"/>
      <c r="E12" s="14"/>
      <c r="F12" s="14"/>
      <c r="G12" s="14"/>
      <c r="I12" s="1" t="s">
        <v>23</v>
      </c>
      <c r="J12" s="14" t="s">
        <v>24</v>
      </c>
      <c r="K12" s="1" t="s">
        <v>25</v>
      </c>
      <c r="L12" s="1">
        <v>120</v>
      </c>
    </row>
    <row r="13" spans="1:12">
      <c r="A13" s="2"/>
      <c r="B13" s="1"/>
      <c r="C13" s="3"/>
      <c r="D13" s="1"/>
      <c r="E13" s="14"/>
      <c r="F13" s="14"/>
      <c r="G13" s="14"/>
      <c r="I13" s="1" t="s">
        <v>28</v>
      </c>
      <c r="J13" s="14" t="s">
        <v>29</v>
      </c>
      <c r="K13" s="1" t="s">
        <v>30</v>
      </c>
      <c r="L13" s="1">
        <v>66</v>
      </c>
    </row>
    <row r="14" spans="1:12">
      <c r="A14" s="2"/>
      <c r="B14" s="1"/>
      <c r="C14" s="3"/>
      <c r="D14" s="1"/>
      <c r="E14" s="14"/>
      <c r="F14" s="14"/>
      <c r="G14" s="14"/>
      <c r="I14" s="1" t="s">
        <v>70</v>
      </c>
      <c r="J14" s="14" t="s">
        <v>71</v>
      </c>
      <c r="K14" s="1" t="s">
        <v>72</v>
      </c>
      <c r="L14" s="1">
        <v>3530</v>
      </c>
    </row>
    <row r="15" spans="1:12">
      <c r="A15" s="2"/>
      <c r="B15" s="1"/>
      <c r="C15" s="3"/>
      <c r="D15" s="1"/>
      <c r="E15" s="14"/>
      <c r="F15" s="14"/>
      <c r="G15" s="14"/>
      <c r="I15" s="1" t="s">
        <v>80</v>
      </c>
      <c r="J15" s="14" t="s">
        <v>81</v>
      </c>
      <c r="K15" s="1" t="s">
        <v>82</v>
      </c>
      <c r="L15" s="1">
        <v>88</v>
      </c>
    </row>
    <row r="16" spans="1:12">
      <c r="A16" s="2"/>
      <c r="B16" s="1"/>
      <c r="C16" s="3"/>
      <c r="D16" s="1"/>
      <c r="E16" s="14"/>
      <c r="F16" s="14"/>
      <c r="G16" s="14"/>
      <c r="I16" s="1" t="s">
        <v>50</v>
      </c>
      <c r="J16" s="14" t="s">
        <v>51</v>
      </c>
      <c r="K16" s="1" t="s">
        <v>52</v>
      </c>
      <c r="L16" s="1">
        <v>82</v>
      </c>
    </row>
    <row r="17" spans="1:12">
      <c r="A17" s="2"/>
      <c r="B17" s="1"/>
      <c r="C17" s="3"/>
      <c r="D17" s="1"/>
      <c r="E17" s="14"/>
      <c r="F17" s="14"/>
      <c r="G17" s="14"/>
      <c r="I17" s="1" t="s">
        <v>73</v>
      </c>
      <c r="J17" s="14" t="s">
        <v>74</v>
      </c>
      <c r="K17" s="1" t="s">
        <v>75</v>
      </c>
      <c r="L17" s="1">
        <v>56</v>
      </c>
    </row>
    <row r="18" spans="1:12">
      <c r="A18" s="2"/>
      <c r="B18" s="1"/>
      <c r="C18" s="3"/>
      <c r="D18" s="1"/>
      <c r="E18" s="14"/>
      <c r="F18" s="14"/>
      <c r="G18" s="14"/>
      <c r="I18" s="1" t="s">
        <v>39</v>
      </c>
      <c r="J18" s="14" t="s">
        <v>40</v>
      </c>
      <c r="K18" s="1" t="s">
        <v>41</v>
      </c>
      <c r="L18" s="1">
        <v>73</v>
      </c>
    </row>
    <row r="19" spans="1:12">
      <c r="A19" s="2"/>
      <c r="B19" s="1"/>
      <c r="C19" s="3"/>
      <c r="D19" s="1"/>
      <c r="E19" s="14"/>
      <c r="F19" s="14"/>
      <c r="G19" s="14"/>
      <c r="I19" s="1" t="s">
        <v>47</v>
      </c>
      <c r="J19" s="14" t="s">
        <v>48</v>
      </c>
      <c r="K19" s="1" t="s">
        <v>49</v>
      </c>
      <c r="L19" s="1">
        <v>45</v>
      </c>
    </row>
    <row r="20" spans="1:12">
      <c r="A20" s="2"/>
      <c r="B20" s="1"/>
      <c r="C20" s="3"/>
      <c r="D20" s="1"/>
      <c r="E20" s="14"/>
      <c r="F20" s="14"/>
      <c r="G20" s="14"/>
      <c r="I20" s="1" t="s">
        <v>59</v>
      </c>
      <c r="J20" s="14" t="s">
        <v>60</v>
      </c>
      <c r="K20" s="1" t="s">
        <v>61</v>
      </c>
      <c r="L20" s="1">
        <v>79</v>
      </c>
    </row>
    <row r="21" spans="1:12">
      <c r="A21" s="2"/>
      <c r="B21" s="1"/>
      <c r="C21" s="3"/>
      <c r="D21" s="1"/>
      <c r="E21" s="14"/>
      <c r="F21" s="14"/>
      <c r="G21" s="14"/>
      <c r="I21" s="1" t="s">
        <v>85</v>
      </c>
      <c r="J21" s="14" t="s">
        <v>86</v>
      </c>
      <c r="K21" s="1" t="s">
        <v>87</v>
      </c>
      <c r="L21" s="1">
        <v>42</v>
      </c>
    </row>
    <row r="22" spans="1:12">
      <c r="A22" s="2"/>
      <c r="B22" s="1"/>
      <c r="C22" s="3"/>
      <c r="D22" s="1"/>
      <c r="E22" s="14"/>
      <c r="F22" s="14"/>
      <c r="G22" s="14"/>
      <c r="I22" s="1" t="s">
        <v>17</v>
      </c>
      <c r="J22" s="14" t="s">
        <v>18</v>
      </c>
      <c r="K22" s="1" t="s">
        <v>19</v>
      </c>
      <c r="L22" s="1">
        <v>9103</v>
      </c>
    </row>
    <row r="23" spans="1:12">
      <c r="A23" s="2"/>
      <c r="B23" s="1"/>
      <c r="C23" s="3"/>
      <c r="D23" s="1"/>
      <c r="E23" s="14"/>
      <c r="F23" s="14"/>
      <c r="G23" s="14"/>
    </row>
    <row r="24" spans="1:12">
      <c r="A24" s="2"/>
      <c r="B24" s="1"/>
      <c r="C24" s="3"/>
      <c r="D24" s="1"/>
      <c r="E24" s="14"/>
      <c r="F24" s="14"/>
      <c r="G24" s="1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주문하기">
          <controlPr defaultSize="0" autoLine="0" autoPict="0" r:id="rId4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914400</xdr:colOff>
                <xdr:row>4</xdr:row>
                <xdr:rowOff>0</xdr:rowOff>
              </to>
            </anchor>
          </controlPr>
        </control>
      </mc:Choice>
      <mc:Fallback>
        <control shapeId="8193" r:id="rId3" name="cmd주문하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2023-11-24T04:47:08Z</dcterms:modified>
</cp:coreProperties>
</file>