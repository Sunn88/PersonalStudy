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ables/table2.xml" ContentType="application/vnd.openxmlformats-officedocument.spreadsheetml.table+xml"/>
  <Override PartName="/xl/pivotTables/pivotTable4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T:\03 교재관련\2024년판\부록&amp;CD\컴활1급실기\01 엑셀\01 섹션\"/>
    </mc:Choice>
  </mc:AlternateContent>
  <xr:revisionPtr revIDLastSave="0" documentId="13_ncr:1_{31C43544-EC18-47A0-A28B-84136DE6D78C}" xr6:coauthVersionLast="47" xr6:coauthVersionMax="47" xr10:uidLastSave="{00000000-0000-0000-0000-000000000000}"/>
  <bookViews>
    <workbookView xWindow="3420" yWindow="600" windowWidth="19200" windowHeight="21000" firstSheet="1" activeTab="3" xr2:uid="{8EE505C6-C1F3-41CB-A1AE-7908827DE881}"/>
  </bookViews>
  <sheets>
    <sheet name="3월가공현황" sheetId="5" r:id="rId1"/>
    <sheet name="무작정따라하기" sheetId="1" r:id="rId2"/>
    <sheet name="기출01" sheetId="2" r:id="rId3"/>
    <sheet name="기출02" sheetId="7" r:id="rId4"/>
    <sheet name="시스템SW" sheetId="6" r:id="rId5"/>
    <sheet name="기출03" sheetId="4" r:id="rId6"/>
  </sheets>
  <calcPr calcId="191029"/>
  <pivotCaches>
    <pivotCache cacheId="0" r:id="rId7"/>
    <pivotCache cacheId="1" r:id="rId8"/>
    <pivotCache cacheId="3" r:id="rId9"/>
    <pivotCache cacheId="11" r:id="rId10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상공대학-1969afbe-f348-4068-a945-92c32fc8ef3b" name="상공대학" connection="상공대학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9E1BD63-B58E-4CAA-9BEF-2C6BC6677BBF}" name="MS Access Database_Query" type="1" refreshedVersion="7" background="1">
    <dbPr connection="DSN=MS Access Database;DBQ=T:\03 교재관련\2024년판\부록&amp;CD\컴활1급실기\01 엑셀\01 섹션\대출관리.accdb;DefaultDir=T:\03 교재관련\2024년판\부록&amp;CD\컴활1급실기\01 엑셀\01 섹션;DriverId=25;FIL=MS Access;MaxBufferSize=2048;PageTimeout=5;" command="SELECT 대출정보.대출번호, 대출정보.대출지점, 대출정보.대출금액, 대출정보.기간_x000d__x000a_FROM 대출정보 대출정보"/>
  </connection>
  <connection id="2" xr16:uid="{1AB743E3-A568-4D11-9C46-48EA5998B7F5}" keepAlive="1" name="ThisWorkbookDataModel" description="데이터 모델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6EA20242-8C18-4891-B34E-DE03289BF093}" sourceFile="C:\길벗컴활1급\01 엑셀\01 섹션\대출관리.accdb" keepAlive="1" name="대출관리" type="5" refreshedVersion="7" background="1">
    <dbPr connection="Provider=Microsoft.ACE.OLEDB.12.0;User ID=Admin;Data Source=C:\길벗컴활1급\01 엑셀\01 섹션\대출관리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대출정보" commandType="3"/>
  </connection>
  <connection id="4" xr16:uid="{05288017-12C7-4F19-B54C-E2ACCDACD734}" name="상공대학" type="103" refreshedVersion="7" minRefreshableVersion="5">
    <extLst>
      <ext xmlns:x15="http://schemas.microsoft.com/office/spreadsheetml/2010/11/main" uri="{DE250136-89BD-433C-8126-D09CA5730AF9}">
        <x15:connection id="상공대학-1969afbe-f348-4068-a945-92c32fc8ef3b" autoDelete="1">
          <x15:textPr prompt="0" codePage="949" sourceFile="C:\길벗컴활1급\01 엑셀\01 섹션\상공대학.csv" tab="0" comma="1">
            <textFields count="9">
              <textField/>
              <textField/>
              <textField type="skip"/>
              <textField/>
              <textField/>
              <textField type="skip"/>
              <textField type="skip"/>
              <textField type="skip"/>
              <textField type="skip"/>
            </textFields>
          </x15:textPr>
          <x15:modelTextPr headers="1"/>
        </x15:connection>
      </ext>
    </extLst>
  </connection>
  <connection id="5" xr16:uid="{16FD7405-203F-42D7-869B-9D8B7CF2E5A4}" sourceFile="C:\길벗컴활1급\01 엑셀\01 섹션\임금수준.xlsx" keepAlive="1" name="임금수준" type="5" refreshedVersion="8" background="1">
    <dbPr connection="Provider=Microsoft.ACE.OLEDB.12.0;User ID=Admin;Data Source=C:\길벗컴활1급\01 엑셀\01 섹션\임금수준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업종별임금수준" commandType="3"/>
  </connection>
  <connection id="6" xr16:uid="{DACA78C2-9E32-437C-A2A0-0C6D28B34524}" sourceFile="C:\길벗컴활1급\01 엑셀\01 섹션\제품가공.accdb" keepAlive="1" name="제품가공" type="5" refreshedVersion="7" background="1">
    <dbPr connection="Provider=Microsoft.ACE.OLEDB.12.0;User ID=Admin;Data Source=C:\길벗컴활1급\01 엑셀\01 섹션\제품가공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팀별가공현황" commandType="3"/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2">
    <s v="ThisWorkbookDataModel"/>
    <s v="{[상공대학].[수강과목].&amp;[액세스]}"/>
  </metadataStrings>
  <mdxMetadata count="1">
    <mdx n="0" f="s">
      <ms ns="1" c="0"/>
    </mdx>
  </mdxMetadata>
  <valueMetadata count="1">
    <bk>
      <rc t="1" v="0"/>
    </bk>
  </valueMetadata>
</metadata>
</file>

<file path=xl/sharedStrings.xml><?xml version="1.0" encoding="utf-8"?>
<sst xmlns="http://schemas.openxmlformats.org/spreadsheetml/2006/main" count="97" uniqueCount="77">
  <si>
    <t>제조순번</t>
  </si>
  <si>
    <t>(모두)</t>
  </si>
  <si>
    <t>제조1팀</t>
  </si>
  <si>
    <t>제조3팀</t>
  </si>
  <si>
    <t>제조5팀</t>
  </si>
  <si>
    <t>총합계</t>
  </si>
  <si>
    <t>1월</t>
  </si>
  <si>
    <t>2월</t>
  </si>
  <si>
    <t>3월</t>
  </si>
  <si>
    <t>가공팀</t>
  </si>
  <si>
    <t>가공일</t>
  </si>
  <si>
    <t>평균 : 단위당원가</t>
  </si>
  <si>
    <t>평균 : 목표매출액</t>
  </si>
  <si>
    <t>가공품명</t>
  </si>
  <si>
    <t>단위당원가</t>
  </si>
  <si>
    <t>가공수량</t>
  </si>
  <si>
    <t>불량율</t>
  </si>
  <si>
    <t>가공원가</t>
  </si>
  <si>
    <t>목표매출액</t>
  </si>
  <si>
    <t>2023-059</t>
  </si>
  <si>
    <t>포도가공</t>
  </si>
  <si>
    <t>수강과목</t>
  </si>
  <si>
    <t>액세스</t>
  </si>
  <si>
    <t>학번</t>
  </si>
  <si>
    <t>값</t>
  </si>
  <si>
    <t>03L321</t>
  </si>
  <si>
    <t>합계: 중간</t>
  </si>
  <si>
    <t>합계: 기말</t>
  </si>
  <si>
    <t>04G121</t>
  </si>
  <si>
    <t>04G741</t>
  </si>
  <si>
    <t>04M143</t>
  </si>
  <si>
    <t>전체 합계: 중간</t>
  </si>
  <si>
    <t>전체 합계: 기말</t>
  </si>
  <si>
    <t>대출지점</t>
  </si>
  <si>
    <t>합계 : 대출금액</t>
  </si>
  <si>
    <t>합계 : 기간</t>
  </si>
  <si>
    <t>대출번호</t>
  </si>
  <si>
    <t>합계 : 월이자</t>
  </si>
  <si>
    <t>대출번호2</t>
  </si>
  <si>
    <t>주택자금</t>
  </si>
  <si>
    <t>국민주택기금</t>
  </si>
  <si>
    <t>무보증신용</t>
  </si>
  <si>
    <t>예부적금담보</t>
  </si>
  <si>
    <t>업무</t>
  </si>
  <si>
    <t>분류</t>
  </si>
  <si>
    <t>평균 : 종사자수</t>
  </si>
  <si>
    <t>평균 : 월평균임금</t>
  </si>
  <si>
    <t>개발</t>
  </si>
  <si>
    <t>PC강사</t>
  </si>
  <si>
    <t>멀티미디어기획</t>
  </si>
  <si>
    <t>시스템SW개발자</t>
  </si>
  <si>
    <t>웹개발자</t>
  </si>
  <si>
    <t>응용SW개발자</t>
  </si>
  <si>
    <t>통신공학기술자</t>
  </si>
  <si>
    <t>통신케이블설치</t>
  </si>
  <si>
    <t>개발 요약</t>
  </si>
  <si>
    <t>관리</t>
  </si>
  <si>
    <t>IT컨설턴트</t>
  </si>
  <si>
    <t>NW분석가</t>
  </si>
  <si>
    <t>PC수리원</t>
  </si>
  <si>
    <t>SM관리자</t>
  </si>
  <si>
    <t>보안전문가</t>
  </si>
  <si>
    <t>시스템설계/분석</t>
  </si>
  <si>
    <t>애니메이터</t>
  </si>
  <si>
    <t>웹디자이너</t>
  </si>
  <si>
    <t>정보통신관리자</t>
  </si>
  <si>
    <t>관리 요약</t>
  </si>
  <si>
    <t>ID</t>
  </si>
  <si>
    <t>종사자수</t>
  </si>
  <si>
    <t>월평균임금</t>
  </si>
  <si>
    <t>평균학력</t>
  </si>
  <si>
    <t>평균연령</t>
  </si>
  <si>
    <t>평균근속년수</t>
  </si>
  <si>
    <t>평균경력</t>
  </si>
  <si>
    <t>주당작업시간</t>
  </si>
  <si>
    <t>여성비율</t>
  </si>
  <si>
    <t>임금근로자수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</si>
</sst>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%"/>
    <numFmt numFmtId="177" formatCode="General&quot;점&quot;"/>
    <numFmt numFmtId="178" formatCode="#,##0_ "/>
    <numFmt numFmtId="179" formatCode="0.0_ "/>
  </numFmts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0" xfId="0" pivotButton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14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179" fontId="0" fillId="0" borderId="0" xfId="0" applyNumberFormat="1">
      <alignment vertical="center"/>
    </xf>
  </cellXfs>
  <cellStyles count="1">
    <cellStyle name="표준" xfId="0" builtinId="0"/>
  </cellStyles>
  <dxfs count="1">
    <dxf>
      <numFmt numFmtId="19" formatCode="yyyy/mm/dd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pivotCacheDefinition" Target="pivotCache/pivotCacheDefinition4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Relationship Id="rId14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kmii" refreshedDate="45213.780674652779" backgroundQuery="1" createdVersion="7" refreshedVersion="7" minRefreshableVersion="3" recordCount="62" xr:uid="{C6EC94A7-EE8A-45A6-B794-265D0A20C515}">
  <cacheSource type="external" connectionId="6"/>
  <cacheFields count="9">
    <cacheField name="제조순번" numFmtId="0">
      <sharedItems count="62">
        <s v="2023-001"/>
        <s v="2023-002"/>
        <s v="2023-003"/>
        <s v="2023-004"/>
        <s v="2023-005"/>
        <s v="2023-006"/>
        <s v="2023-007"/>
        <s v="2023-008"/>
        <s v="2023-009"/>
        <s v="2023-010"/>
        <s v="2023-011"/>
        <s v="2023-012"/>
        <s v="2023-013"/>
        <s v="2023-014"/>
        <s v="2023-015"/>
        <s v="2023-016"/>
        <s v="2023-017"/>
        <s v="2023-018"/>
        <s v="2023-019"/>
        <s v="2023-020"/>
        <s v="2023-021"/>
        <s v="2023-022"/>
        <s v="2023-023"/>
        <s v="2023-024"/>
        <s v="2023-025"/>
        <s v="2023-026"/>
        <s v="2023-027"/>
        <s v="2023-028"/>
        <s v="2023-029"/>
        <s v="2023-030"/>
        <s v="2023-031"/>
        <s v="2023-032"/>
        <s v="2023-033"/>
        <s v="2023-034"/>
        <s v="2023-035"/>
        <s v="2023-036"/>
        <s v="2023-037"/>
        <s v="2023-038"/>
        <s v="2023-039"/>
        <s v="2023-040"/>
        <s v="2023-041"/>
        <s v="2023-042"/>
        <s v="2023-043"/>
        <s v="2023-044"/>
        <s v="2023-045"/>
        <s v="2023-046"/>
        <s v="2023-047"/>
        <s v="2023-048"/>
        <s v="2023-049"/>
        <s v="2023-050"/>
        <s v="2023-051"/>
        <s v="2023-052"/>
        <s v="2023-053"/>
        <s v="2023-054"/>
        <s v="2023-055"/>
        <s v="2023-056"/>
        <s v="2023-057"/>
        <s v="2023-058"/>
        <s v="2023-059"/>
        <s v="2023-060"/>
        <s v="2023-061"/>
        <s v="2023-062"/>
      </sharedItems>
    </cacheField>
    <cacheField name="가공일" numFmtId="0">
      <sharedItems containsSemiMixedTypes="0" containsNonDate="0" containsDate="1" containsString="0" minDate="2023-01-05T00:00:00" maxDate="2023-03-08T00:00:00" count="62"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5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27T00:00:00"/>
        <d v="2023-02-28T00:00:00"/>
        <d v="2023-03-01T00:00:00"/>
        <d v="2023-03-02T00:00:00"/>
        <d v="2023-03-03T00:00:00"/>
        <d v="2023-03-04T00:00:00"/>
        <d v="2023-03-05T00:00:00"/>
        <d v="2023-03-06T00:00:00"/>
        <d v="2023-03-07T00:00:00"/>
      </sharedItems>
      <fieldGroup base="1">
        <rangePr groupBy="months" startDate="2023-01-05T00:00:00" endDate="2023-03-08T00:00:00"/>
        <groupItems count="14">
          <s v="&lt;2023-01-05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3-03-08"/>
        </groupItems>
      </fieldGroup>
    </cacheField>
    <cacheField name="가공팀" numFmtId="0">
      <sharedItems count="6">
        <s v="제조1팀"/>
        <s v="제조3팀"/>
        <s v="제조6팀"/>
        <s v="제조5팀"/>
        <s v="제조4팀"/>
        <s v="제조2팀"/>
      </sharedItems>
    </cacheField>
    <cacheField name="가공품명" numFmtId="0">
      <sharedItems count="3">
        <s v="포도가공"/>
        <s v="딸기가공"/>
        <s v="사과가공"/>
      </sharedItems>
    </cacheField>
    <cacheField name="단위당원가" numFmtId="0">
      <sharedItems containsSemiMixedTypes="0" containsString="0" containsNumber="1" containsInteger="1" minValue="100" maxValue="300" count="5">
        <n v="150"/>
        <n v="300"/>
        <n v="200"/>
        <n v="100"/>
        <n v="250"/>
      </sharedItems>
    </cacheField>
    <cacheField name="가공수량" numFmtId="0">
      <sharedItems containsSemiMixedTypes="0" containsString="0" containsNumber="1" containsInteger="1" minValue="500" maxValue="900" count="29">
        <n v="800"/>
        <n v="900"/>
        <n v="580"/>
        <n v="730"/>
        <n v="690"/>
        <n v="880"/>
        <n v="850"/>
        <n v="600"/>
        <n v="610"/>
        <n v="550"/>
        <n v="560"/>
        <n v="710"/>
        <n v="620"/>
        <n v="670"/>
        <n v="630"/>
        <n v="830"/>
        <n v="660"/>
        <n v="870"/>
        <n v="520"/>
        <n v="860"/>
        <n v="790"/>
        <n v="780"/>
        <n v="770"/>
        <n v="810"/>
        <n v="650"/>
        <n v="740"/>
        <n v="760"/>
        <n v="700"/>
        <n v="500"/>
      </sharedItems>
    </cacheField>
    <cacheField name="불량율" numFmtId="0">
      <sharedItems containsSemiMixedTypes="0" containsString="0" containsNumber="1" minValue="0.1" maxValue="0.3" count="3">
        <n v="0.1"/>
        <n v="0.3"/>
        <n v="0.2"/>
      </sharedItems>
    </cacheField>
    <cacheField name="가공원가" numFmtId="0">
      <sharedItems containsSemiMixedTypes="0" containsString="0" containsNumber="1" containsInteger="1" minValue="52000" maxValue="264000"/>
    </cacheField>
    <cacheField name="목표매출액" numFmtId="0">
      <sharedItems containsSemiMixedTypes="0" containsString="0" containsNumber="1" containsInteger="1" minValue="57200" maxValue="3432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okmii" refreshedDate="45213.800162615742" backgroundQuery="1" createdVersion="8" refreshedVersion="7" minRefreshableVersion="3" recordCount="0" supportSubquery="1" supportAdvancedDrill="1" xr:uid="{E8B6A6ED-870B-4BFF-8ADE-698B018B8CD8}">
  <cacheSource type="external" connectionId="2"/>
  <cacheFields count="4">
    <cacheField name="[상공대학].[수강과목].[수강과목]" caption="수강과목" numFmtId="0" hierarchy="1" level="1">
      <sharedItems containsSemiMixedTypes="0" containsNonDate="0" containsString="0"/>
    </cacheField>
    <cacheField name="[Measures].[합계: 중간]" caption="합계: 중간" numFmtId="0" hierarchy="6" level="32767"/>
    <cacheField name="[Measures].[합계: 기말]" caption="합계: 기말" numFmtId="0" hierarchy="7" level="32767"/>
    <cacheField name="[상공대학].[학번].[학번]" caption="학번" numFmtId="0" level="1">
      <sharedItems count="4">
        <s v="03L321"/>
        <s v="04G121"/>
        <s v="04G741"/>
        <s v="04M143"/>
      </sharedItems>
    </cacheField>
  </cacheFields>
  <cacheHierarchies count="8">
    <cacheHierarchy uniqueName="[상공대학].[학번]" caption="학번" attribute="1" defaultMemberUniqueName="[상공대학].[학번].[All]" allUniqueName="[상공대학].[학번].[All]" dimensionUniqueName="[상공대학]" displayFolder="" count="2" memberValueDatatype="130" unbalanced="0">
      <fieldsUsage count="2">
        <fieldUsage x="-1"/>
        <fieldUsage x="3"/>
      </fieldsUsage>
    </cacheHierarchy>
    <cacheHierarchy uniqueName="[상공대학].[수강과목]" caption="수강과목" attribute="1" defaultMemberUniqueName="[상공대학].[수강과목].[All]" allUniqueName="[상공대학].[수강과목].[All]" dimensionUniqueName="[상공대학]" displayFolder="" count="2" memberValueDatatype="130" unbalanced="0">
      <fieldsUsage count="2">
        <fieldUsage x="-1"/>
        <fieldUsage x="0"/>
      </fieldsUsage>
    </cacheHierarchy>
    <cacheHierarchy uniqueName="[상공대학].[중간]" caption="중간" attribute="1" defaultMemberUniqueName="[상공대학].[중간].[All]" allUniqueName="[상공대학].[중간].[All]" dimensionUniqueName="[상공대학]" displayFolder="" count="0" memberValueDatatype="20" unbalanced="0"/>
    <cacheHierarchy uniqueName="[상공대학].[기말]" caption="기말" attribute="1" defaultMemberUniqueName="[상공대학].[기말].[All]" allUniqueName="[상공대학].[기말].[All]" dimensionUniqueName="[상공대학]" displayFolder="" count="0" memberValueDatatype="20" unbalanced="0"/>
    <cacheHierarchy uniqueName="[Measures].[__XL_Count 상공대학]" caption="__XL_Count 상공대학" measure="1" displayFolder="" measureGroup="상공대학" count="0" hidden="1"/>
    <cacheHierarchy uniqueName="[Measures].[__No measures defined]" caption="__No measures defined" measure="1" displayFolder="" count="0" hidden="1"/>
    <cacheHierarchy uniqueName="[Measures].[합계: 중간]" caption="합계: 중간" measure="1" displayFolder="" measureGroup="상공대학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합계: 기말]" caption="합계: 기말" measure="1" displayFolder="" measureGroup="상공대학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</cacheHierarchies>
  <kpis count="0"/>
  <dimensions count="2">
    <dimension measure="1" name="Measures" uniqueName="[Measures]" caption="Measures"/>
    <dimension name="상공대학" uniqueName="[상공대학]" caption="상공대학"/>
  </dimensions>
  <measureGroups count="1">
    <measureGroup name="상공대학" caption="상공대학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kmiilk@naver.com" refreshedDate="45105.66441203704" backgroundQuery="1" createdVersion="8" refreshedVersion="8" minRefreshableVersion="3" recordCount="17" xr:uid="{59A1137C-4E13-4C3D-8724-F17DC7C737A6}">
  <cacheSource type="external" connectionId="5"/>
  <cacheFields count="12">
    <cacheField name="ID" numFmtId="0">
      <sharedItems containsSemiMixedTypes="0" containsString="0" containsNumber="1" containsInteger="1" minValue="1" maxValue="19" count="17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9"/>
      </sharedItems>
    </cacheField>
    <cacheField name="분류" numFmtId="0">
      <sharedItems count="16">
        <s v="시스템설계/분석"/>
        <s v="IT컨설턴트"/>
        <s v="시스템SW개발자"/>
        <s v="보안전문가"/>
        <s v="NW분석가"/>
        <s v="응용SW개발자"/>
        <s v="SM관리자"/>
        <s v="웹개발자"/>
        <s v="웹디자이너"/>
        <s v="통신공학기술자"/>
        <s v="통신케이블설치"/>
        <s v="멀티미디어기획"/>
        <s v="애니메이터"/>
        <s v="PC수리원"/>
        <s v="PC강사"/>
        <s v="정보통신관리자"/>
      </sharedItems>
    </cacheField>
    <cacheField name="업무" numFmtId="0">
      <sharedItems count="2">
        <s v="관리"/>
        <s v="개발"/>
      </sharedItems>
    </cacheField>
    <cacheField name="종사자수" numFmtId="0">
      <sharedItems containsSemiMixedTypes="0" containsString="0" containsNumber="1" containsInteger="1" minValue="1250" maxValue="114054" count="17">
        <n v="4829"/>
        <n v="14195"/>
        <n v="8130"/>
        <n v="5797"/>
        <n v="3168"/>
        <n v="114054"/>
        <n v="76947"/>
        <n v="15887"/>
        <n v="32931"/>
        <n v="31080"/>
        <n v="21786"/>
        <n v="2258"/>
        <n v="9470"/>
        <n v="37802"/>
        <n v="21146"/>
        <n v="21222"/>
        <n v="1250"/>
      </sharedItems>
    </cacheField>
    <cacheField name="월평균임금" numFmtId="0">
      <sharedItems containsSemiMixedTypes="0" containsString="0" containsNumber="1" minValue="124" maxValue="351.3" count="16">
        <n v="347.1"/>
        <n v="313.7"/>
        <n v="261"/>
        <n v="258.7"/>
        <n v="233.7"/>
        <n v="225"/>
        <n v="204.3"/>
        <n v="169.2"/>
        <n v="154.4"/>
        <n v="279.8"/>
        <n v="189.4"/>
        <n v="183.9"/>
        <n v="156.69999999999999"/>
        <n v="153.9"/>
        <n v="124"/>
        <n v="351.3"/>
      </sharedItems>
    </cacheField>
    <cacheField name="평균학력" numFmtId="0">
      <sharedItems containsSemiMixedTypes="0" containsString="0" containsNumber="1" minValue="12.4" maxValue="16.600000000000001" count="15">
        <n v="16.600000000000001"/>
        <n v="16.2"/>
        <n v="15.4"/>
        <n v="16.399999999999999"/>
        <n v="14.8"/>
        <n v="15.1"/>
        <n v="14.3"/>
        <n v="16.100000000000001"/>
        <n v="12.7"/>
        <n v="15.2"/>
        <n v="13.3"/>
        <n v="13.7"/>
        <n v="14.7"/>
        <n v="14.9"/>
        <n v="12.4"/>
      </sharedItems>
    </cacheField>
    <cacheField name="평균연령" numFmtId="0">
      <sharedItems containsSemiMixedTypes="0" containsString="0" containsNumber="1" minValue="28.8" maxValue="43" count="16">
        <n v="35.299999999999997"/>
        <n v="34.299999999999997"/>
        <n v="33.6"/>
        <n v="34.9"/>
        <n v="33"/>
        <n v="33.200000000000003"/>
        <n v="33.799999999999997"/>
        <n v="29.6"/>
        <n v="28.8"/>
        <n v="36"/>
        <n v="39.700000000000003"/>
        <n v="31"/>
        <n v="35.1"/>
        <n v="33.1"/>
        <n v="43"/>
        <n v="35"/>
      </sharedItems>
    </cacheField>
    <cacheField name="평균근속년수" numFmtId="0">
      <sharedItems containsSemiMixedTypes="0" containsString="0" containsNumber="1" minValue="2" maxValue="8.3000000000000007" count="16">
        <n v="6.8"/>
        <n v="3.7"/>
        <n v="4.4000000000000004"/>
        <n v="2.4"/>
        <n v="4.5999999999999996"/>
        <n v="3.8"/>
        <n v="5.6"/>
        <n v="2"/>
        <n v="2.5"/>
        <n v="6.5"/>
        <n v="7.9"/>
        <n v="3.9"/>
        <n v="8.3000000000000007"/>
        <n v="4"/>
        <n v="7.2"/>
        <n v="5.2"/>
      </sharedItems>
    </cacheField>
    <cacheField name="평균경력" numFmtId="0">
      <sharedItems containsSemiMixedTypes="0" containsString="0" containsNumber="1" minValue="2.8" maxValue="12.9" count="16">
        <n v="8"/>
        <n v="5.9"/>
        <n v="6.5"/>
        <n v="6"/>
        <n v="4.9000000000000004"/>
        <n v="5.4"/>
        <n v="6.7"/>
        <n v="4.0999999999999996"/>
        <n v="3.1"/>
        <n v="8.4"/>
        <n v="10.6"/>
        <n v="3.4"/>
        <n v="9.6999999999999993"/>
        <n v="2.8"/>
        <n v="12.9"/>
        <n v="5.5"/>
      </sharedItems>
    </cacheField>
    <cacheField name="주당작업시간" numFmtId="0">
      <sharedItems containsSemiMixedTypes="0" containsString="0" containsNumber="1" minValue="41.9" maxValue="59.4" count="17">
        <n v="50.3"/>
        <n v="53.5"/>
        <n v="55.3"/>
        <n v="59.4"/>
        <n v="55.7"/>
        <n v="54.4"/>
        <n v="50.4"/>
        <n v="54.1"/>
        <n v="52.1"/>
        <n v="56.7"/>
        <n v="54"/>
        <n v="41.9"/>
        <n v="56.9"/>
        <n v="56.5"/>
        <n v="42.5"/>
        <n v="54.8"/>
        <n v="55"/>
      </sharedItems>
    </cacheField>
    <cacheField name="여성비율" numFmtId="0">
      <sharedItems containsSemiMixedTypes="0" containsString="0" containsNumber="1" minValue="0.5" maxValue="58.1" count="16">
        <n v="13.1"/>
        <n v="27.9"/>
        <n v="12.8"/>
        <n v="0.5"/>
        <n v="14.4"/>
        <n v="17.3"/>
        <n v="32"/>
        <n v="58.1"/>
        <n v="6.1"/>
        <n v="2.2000000000000002"/>
        <n v="42.4"/>
        <n v="38.299999999999997"/>
        <n v="3.4"/>
        <n v="57"/>
        <n v="5"/>
        <n v="12.3"/>
      </sharedItems>
    </cacheField>
    <cacheField name="임금근로자수" numFmtId="0">
      <sharedItems containsSemiMixedTypes="0" containsString="0" containsNumber="1" containsInteger="1" minValue="33" maxValue="100" count="13">
        <n v="100"/>
        <n v="93"/>
        <n v="95"/>
        <n v="89"/>
        <n v="86"/>
        <n v="94"/>
        <n v="72"/>
        <n v="84"/>
        <n v="88"/>
        <n v="59"/>
        <n v="83"/>
        <n v="68"/>
        <n v="33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김용갑" refreshedDate="45343.643725000002" backgroundQuery="1" createdVersion="7" refreshedVersion="7" minRefreshableVersion="3" recordCount="30" xr:uid="{877937E2-DBF2-4455-9B07-EEEC5FE37F6A}">
  <cacheSource type="external" connectionId="1"/>
  <cacheFields count="6">
    <cacheField name="대출번호" numFmtId="0" sqlType="-9">
      <sharedItems count="30">
        <s v="M04-08"/>
        <s v="M01-23"/>
        <s v="M02-12"/>
        <s v="Y02-26"/>
        <s v="M01-27"/>
        <s v="M03-37"/>
        <s v="K02-59"/>
        <s v="Y03-08"/>
        <s v="M02-14"/>
        <s v="Y01-07"/>
        <s v="K04-02"/>
        <s v="J03-26"/>
        <s v="K03-05"/>
        <s v="M01-37"/>
        <s v="K01-02"/>
        <s v="Y04-48"/>
        <s v="Y02-67"/>
        <s v="J02-38"/>
        <s v="K01-38"/>
        <s v="J02-01"/>
        <s v="M01-64"/>
        <s v="Y04-15"/>
        <s v="K02-28"/>
        <s v="J04-26"/>
        <s v="K03-52"/>
        <s v="Y03-88"/>
        <s v="J04-31"/>
        <s v="M02-06"/>
        <s v="K04-35"/>
        <s v="J01-42"/>
      </sharedItems>
      <fieldGroup par="5"/>
    </cacheField>
    <cacheField name="대출지점" numFmtId="0" sqlType="-9">
      <sharedItems count="4">
        <s v="충청"/>
        <s v="서울"/>
        <s v="경기"/>
        <s v="부산"/>
      </sharedItems>
    </cacheField>
    <cacheField name="대출금액" numFmtId="0" sqlType="4">
      <sharedItems containsSemiMixedTypes="0" containsString="0" containsNumber="1" containsInteger="1" minValue="1000000" maxValue="35000000" count="14">
        <n v="5000000"/>
        <n v="3000000"/>
        <n v="2500000"/>
        <n v="8000000"/>
        <n v="10000000"/>
        <n v="7000000"/>
        <n v="2000000"/>
        <n v="12000000"/>
        <n v="15000000"/>
        <n v="1000000"/>
        <n v="27000000"/>
        <n v="6000000"/>
        <n v="4000000"/>
        <n v="35000000"/>
      </sharedItems>
    </cacheField>
    <cacheField name="기간" numFmtId="0" sqlType="4">
      <sharedItems containsSemiMixedTypes="0" containsString="0" containsNumber="1" containsInteger="1" minValue="12" maxValue="60" count="7">
        <n v="18"/>
        <n v="30"/>
        <n v="24"/>
        <n v="12"/>
        <n v="36"/>
        <n v="60"/>
        <n v="48"/>
      </sharedItems>
    </cacheField>
    <cacheField name="월이자" numFmtId="0" formula="대출금액 *0.05/12" databaseField="0"/>
    <cacheField name="대출번호2" numFmtId="0" databaseField="0">
      <fieldGroup base="0">
        <discretePr count="30">
          <x v="2"/>
          <x v="2"/>
          <x v="2"/>
          <x v="3"/>
          <x v="2"/>
          <x v="2"/>
          <x v="1"/>
          <x v="3"/>
          <x v="2"/>
          <x v="3"/>
          <x v="1"/>
          <x v="0"/>
          <x v="1"/>
          <x v="2"/>
          <x v="1"/>
          <x v="3"/>
          <x v="3"/>
          <x v="0"/>
          <x v="1"/>
          <x v="0"/>
          <x v="2"/>
          <x v="3"/>
          <x v="1"/>
          <x v="0"/>
          <x v="1"/>
          <x v="3"/>
          <x v="0"/>
          <x v="2"/>
          <x v="1"/>
          <x v="0"/>
        </discretePr>
        <groupItems count="4">
          <s v="그룹1"/>
          <s v="그룹2"/>
          <s v="그룹3"/>
          <s v="그룹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2">
  <r>
    <x v="0"/>
    <x v="0"/>
    <x v="0"/>
    <x v="0"/>
    <x v="0"/>
    <x v="0"/>
    <x v="0"/>
    <n v="144000"/>
    <n v="165600"/>
  </r>
  <r>
    <x v="1"/>
    <x v="1"/>
    <x v="0"/>
    <x v="0"/>
    <x v="1"/>
    <x v="1"/>
    <x v="0"/>
    <n v="162000"/>
    <n v="186300"/>
  </r>
  <r>
    <x v="2"/>
    <x v="2"/>
    <x v="1"/>
    <x v="1"/>
    <x v="2"/>
    <x v="2"/>
    <x v="1"/>
    <n v="116000"/>
    <n v="150800"/>
  </r>
  <r>
    <x v="3"/>
    <x v="3"/>
    <x v="2"/>
    <x v="2"/>
    <x v="3"/>
    <x v="3"/>
    <x v="0"/>
    <n v="73000"/>
    <n v="80300"/>
  </r>
  <r>
    <x v="4"/>
    <x v="4"/>
    <x v="3"/>
    <x v="0"/>
    <x v="1"/>
    <x v="4"/>
    <x v="1"/>
    <n v="207000"/>
    <n v="269100"/>
  </r>
  <r>
    <x v="5"/>
    <x v="5"/>
    <x v="2"/>
    <x v="0"/>
    <x v="0"/>
    <x v="5"/>
    <x v="1"/>
    <n v="132000"/>
    <n v="171600"/>
  </r>
  <r>
    <x v="6"/>
    <x v="6"/>
    <x v="1"/>
    <x v="1"/>
    <x v="2"/>
    <x v="6"/>
    <x v="2"/>
    <n v="170000"/>
    <n v="204000"/>
  </r>
  <r>
    <x v="7"/>
    <x v="7"/>
    <x v="4"/>
    <x v="1"/>
    <x v="2"/>
    <x v="7"/>
    <x v="1"/>
    <n v="120000"/>
    <n v="156000"/>
  </r>
  <r>
    <x v="8"/>
    <x v="8"/>
    <x v="3"/>
    <x v="1"/>
    <x v="2"/>
    <x v="8"/>
    <x v="1"/>
    <n v="122000"/>
    <n v="158600"/>
  </r>
  <r>
    <x v="9"/>
    <x v="9"/>
    <x v="5"/>
    <x v="0"/>
    <x v="0"/>
    <x v="9"/>
    <x v="0"/>
    <n v="82500"/>
    <n v="90750"/>
  </r>
  <r>
    <x v="10"/>
    <x v="10"/>
    <x v="5"/>
    <x v="1"/>
    <x v="2"/>
    <x v="10"/>
    <x v="1"/>
    <n v="112000"/>
    <n v="145600"/>
  </r>
  <r>
    <x v="11"/>
    <x v="11"/>
    <x v="2"/>
    <x v="0"/>
    <x v="0"/>
    <x v="11"/>
    <x v="1"/>
    <n v="106500"/>
    <n v="138450"/>
  </r>
  <r>
    <x v="12"/>
    <x v="12"/>
    <x v="4"/>
    <x v="1"/>
    <x v="2"/>
    <x v="2"/>
    <x v="0"/>
    <n v="116000"/>
    <n v="127600"/>
  </r>
  <r>
    <x v="13"/>
    <x v="13"/>
    <x v="5"/>
    <x v="0"/>
    <x v="0"/>
    <x v="12"/>
    <x v="0"/>
    <n v="93000"/>
    <n v="102300"/>
  </r>
  <r>
    <x v="14"/>
    <x v="14"/>
    <x v="5"/>
    <x v="2"/>
    <x v="4"/>
    <x v="7"/>
    <x v="0"/>
    <n v="150000"/>
    <n v="165000"/>
  </r>
  <r>
    <x v="15"/>
    <x v="15"/>
    <x v="4"/>
    <x v="1"/>
    <x v="2"/>
    <x v="13"/>
    <x v="2"/>
    <n v="134000"/>
    <n v="160800"/>
  </r>
  <r>
    <x v="16"/>
    <x v="16"/>
    <x v="3"/>
    <x v="1"/>
    <x v="2"/>
    <x v="14"/>
    <x v="0"/>
    <n v="126000"/>
    <n v="138600"/>
  </r>
  <r>
    <x v="17"/>
    <x v="17"/>
    <x v="5"/>
    <x v="1"/>
    <x v="2"/>
    <x v="9"/>
    <x v="2"/>
    <n v="110000"/>
    <n v="132000"/>
  </r>
  <r>
    <x v="18"/>
    <x v="18"/>
    <x v="1"/>
    <x v="0"/>
    <x v="1"/>
    <x v="2"/>
    <x v="2"/>
    <n v="174000"/>
    <n v="208800"/>
  </r>
  <r>
    <x v="19"/>
    <x v="19"/>
    <x v="5"/>
    <x v="0"/>
    <x v="0"/>
    <x v="13"/>
    <x v="2"/>
    <n v="100500"/>
    <n v="120600"/>
  </r>
  <r>
    <x v="20"/>
    <x v="20"/>
    <x v="2"/>
    <x v="2"/>
    <x v="4"/>
    <x v="15"/>
    <x v="2"/>
    <n v="207500"/>
    <n v="249000"/>
  </r>
  <r>
    <x v="21"/>
    <x v="21"/>
    <x v="5"/>
    <x v="0"/>
    <x v="1"/>
    <x v="5"/>
    <x v="1"/>
    <n v="264000"/>
    <n v="343200"/>
  </r>
  <r>
    <x v="22"/>
    <x v="22"/>
    <x v="1"/>
    <x v="0"/>
    <x v="1"/>
    <x v="16"/>
    <x v="2"/>
    <n v="198000"/>
    <n v="237600"/>
  </r>
  <r>
    <x v="23"/>
    <x v="23"/>
    <x v="2"/>
    <x v="1"/>
    <x v="2"/>
    <x v="17"/>
    <x v="0"/>
    <n v="174000"/>
    <n v="191400"/>
  </r>
  <r>
    <x v="24"/>
    <x v="24"/>
    <x v="1"/>
    <x v="1"/>
    <x v="2"/>
    <x v="16"/>
    <x v="1"/>
    <n v="132000"/>
    <n v="171600"/>
  </r>
  <r>
    <x v="25"/>
    <x v="25"/>
    <x v="2"/>
    <x v="0"/>
    <x v="0"/>
    <x v="16"/>
    <x v="0"/>
    <n v="99000"/>
    <n v="108900"/>
  </r>
  <r>
    <x v="26"/>
    <x v="26"/>
    <x v="5"/>
    <x v="0"/>
    <x v="0"/>
    <x v="18"/>
    <x v="1"/>
    <n v="78000"/>
    <n v="101400"/>
  </r>
  <r>
    <x v="27"/>
    <x v="27"/>
    <x v="4"/>
    <x v="0"/>
    <x v="1"/>
    <x v="15"/>
    <x v="2"/>
    <n v="249000"/>
    <n v="298800"/>
  </r>
  <r>
    <x v="28"/>
    <x v="28"/>
    <x v="5"/>
    <x v="1"/>
    <x v="2"/>
    <x v="19"/>
    <x v="2"/>
    <n v="172000"/>
    <n v="206400"/>
  </r>
  <r>
    <x v="29"/>
    <x v="29"/>
    <x v="2"/>
    <x v="0"/>
    <x v="0"/>
    <x v="20"/>
    <x v="0"/>
    <n v="118500"/>
    <n v="130350"/>
  </r>
  <r>
    <x v="30"/>
    <x v="30"/>
    <x v="2"/>
    <x v="1"/>
    <x v="2"/>
    <x v="21"/>
    <x v="2"/>
    <n v="156000"/>
    <n v="187200"/>
  </r>
  <r>
    <x v="31"/>
    <x v="31"/>
    <x v="2"/>
    <x v="1"/>
    <x v="2"/>
    <x v="19"/>
    <x v="1"/>
    <n v="172000"/>
    <n v="223600"/>
  </r>
  <r>
    <x v="32"/>
    <x v="32"/>
    <x v="1"/>
    <x v="2"/>
    <x v="4"/>
    <x v="22"/>
    <x v="1"/>
    <n v="192500"/>
    <n v="250250"/>
  </r>
  <r>
    <x v="33"/>
    <x v="33"/>
    <x v="2"/>
    <x v="0"/>
    <x v="0"/>
    <x v="13"/>
    <x v="0"/>
    <n v="100500"/>
    <n v="110550"/>
  </r>
  <r>
    <x v="34"/>
    <x v="34"/>
    <x v="4"/>
    <x v="0"/>
    <x v="1"/>
    <x v="20"/>
    <x v="1"/>
    <n v="237000"/>
    <n v="308100"/>
  </r>
  <r>
    <x v="35"/>
    <x v="35"/>
    <x v="2"/>
    <x v="2"/>
    <x v="4"/>
    <x v="13"/>
    <x v="0"/>
    <n v="167500"/>
    <n v="184250"/>
  </r>
  <r>
    <x v="36"/>
    <x v="36"/>
    <x v="3"/>
    <x v="1"/>
    <x v="2"/>
    <x v="2"/>
    <x v="1"/>
    <n v="116000"/>
    <n v="150800"/>
  </r>
  <r>
    <x v="37"/>
    <x v="37"/>
    <x v="4"/>
    <x v="1"/>
    <x v="2"/>
    <x v="22"/>
    <x v="2"/>
    <n v="154000"/>
    <n v="184800"/>
  </r>
  <r>
    <x v="38"/>
    <x v="38"/>
    <x v="5"/>
    <x v="2"/>
    <x v="3"/>
    <x v="23"/>
    <x v="0"/>
    <n v="81000"/>
    <n v="89100"/>
  </r>
  <r>
    <x v="39"/>
    <x v="39"/>
    <x v="2"/>
    <x v="1"/>
    <x v="2"/>
    <x v="22"/>
    <x v="0"/>
    <n v="154000"/>
    <n v="169400"/>
  </r>
  <r>
    <x v="40"/>
    <x v="40"/>
    <x v="2"/>
    <x v="2"/>
    <x v="3"/>
    <x v="11"/>
    <x v="1"/>
    <n v="71000"/>
    <n v="92300"/>
  </r>
  <r>
    <x v="41"/>
    <x v="41"/>
    <x v="4"/>
    <x v="0"/>
    <x v="1"/>
    <x v="19"/>
    <x v="2"/>
    <n v="258000"/>
    <n v="309600"/>
  </r>
  <r>
    <x v="42"/>
    <x v="42"/>
    <x v="4"/>
    <x v="1"/>
    <x v="2"/>
    <x v="24"/>
    <x v="2"/>
    <n v="130000"/>
    <n v="156000"/>
  </r>
  <r>
    <x v="43"/>
    <x v="43"/>
    <x v="3"/>
    <x v="2"/>
    <x v="4"/>
    <x v="12"/>
    <x v="0"/>
    <n v="155000"/>
    <n v="170500"/>
  </r>
  <r>
    <x v="44"/>
    <x v="44"/>
    <x v="1"/>
    <x v="2"/>
    <x v="3"/>
    <x v="0"/>
    <x v="0"/>
    <n v="80000"/>
    <n v="88000"/>
  </r>
  <r>
    <x v="45"/>
    <x v="45"/>
    <x v="1"/>
    <x v="1"/>
    <x v="2"/>
    <x v="9"/>
    <x v="0"/>
    <n v="110000"/>
    <n v="121000"/>
  </r>
  <r>
    <x v="46"/>
    <x v="46"/>
    <x v="1"/>
    <x v="1"/>
    <x v="2"/>
    <x v="16"/>
    <x v="0"/>
    <n v="132000"/>
    <n v="145200"/>
  </r>
  <r>
    <x v="47"/>
    <x v="47"/>
    <x v="4"/>
    <x v="0"/>
    <x v="1"/>
    <x v="17"/>
    <x v="1"/>
    <n v="261000"/>
    <n v="339300"/>
  </r>
  <r>
    <x v="48"/>
    <x v="48"/>
    <x v="2"/>
    <x v="1"/>
    <x v="2"/>
    <x v="25"/>
    <x v="0"/>
    <n v="148000"/>
    <n v="162800"/>
  </r>
  <r>
    <x v="49"/>
    <x v="49"/>
    <x v="4"/>
    <x v="2"/>
    <x v="4"/>
    <x v="20"/>
    <x v="1"/>
    <n v="197500"/>
    <n v="256750"/>
  </r>
  <r>
    <x v="50"/>
    <x v="50"/>
    <x v="1"/>
    <x v="2"/>
    <x v="3"/>
    <x v="11"/>
    <x v="2"/>
    <n v="71000"/>
    <n v="85200"/>
  </r>
  <r>
    <x v="51"/>
    <x v="51"/>
    <x v="5"/>
    <x v="2"/>
    <x v="3"/>
    <x v="26"/>
    <x v="0"/>
    <n v="76000"/>
    <n v="83600"/>
  </r>
  <r>
    <x v="52"/>
    <x v="52"/>
    <x v="2"/>
    <x v="1"/>
    <x v="2"/>
    <x v="6"/>
    <x v="2"/>
    <n v="170000"/>
    <n v="204000"/>
  </r>
  <r>
    <x v="53"/>
    <x v="53"/>
    <x v="1"/>
    <x v="2"/>
    <x v="4"/>
    <x v="26"/>
    <x v="2"/>
    <n v="190000"/>
    <n v="228000"/>
  </r>
  <r>
    <x v="54"/>
    <x v="54"/>
    <x v="5"/>
    <x v="2"/>
    <x v="4"/>
    <x v="0"/>
    <x v="1"/>
    <n v="200000"/>
    <n v="260000"/>
  </r>
  <r>
    <x v="55"/>
    <x v="55"/>
    <x v="4"/>
    <x v="0"/>
    <x v="0"/>
    <x v="27"/>
    <x v="2"/>
    <n v="105000"/>
    <n v="126000"/>
  </r>
  <r>
    <x v="56"/>
    <x v="56"/>
    <x v="5"/>
    <x v="2"/>
    <x v="3"/>
    <x v="6"/>
    <x v="0"/>
    <n v="85000"/>
    <n v="93500"/>
  </r>
  <r>
    <x v="57"/>
    <x v="57"/>
    <x v="2"/>
    <x v="1"/>
    <x v="2"/>
    <x v="9"/>
    <x v="2"/>
    <n v="110000"/>
    <n v="132000"/>
  </r>
  <r>
    <x v="58"/>
    <x v="58"/>
    <x v="1"/>
    <x v="0"/>
    <x v="0"/>
    <x v="19"/>
    <x v="0"/>
    <n v="129000"/>
    <n v="141900"/>
  </r>
  <r>
    <x v="59"/>
    <x v="59"/>
    <x v="4"/>
    <x v="1"/>
    <x v="2"/>
    <x v="28"/>
    <x v="0"/>
    <n v="100000"/>
    <n v="110000"/>
  </r>
  <r>
    <x v="60"/>
    <x v="60"/>
    <x v="2"/>
    <x v="2"/>
    <x v="3"/>
    <x v="18"/>
    <x v="0"/>
    <n v="52000"/>
    <n v="57200"/>
  </r>
  <r>
    <x v="61"/>
    <x v="61"/>
    <x v="5"/>
    <x v="2"/>
    <x v="3"/>
    <x v="18"/>
    <x v="2"/>
    <n v="52000"/>
    <n v="624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">
  <r>
    <x v="0"/>
    <x v="0"/>
    <x v="0"/>
    <x v="0"/>
    <x v="0"/>
    <x v="0"/>
    <x v="0"/>
    <x v="0"/>
    <x v="0"/>
    <x v="0"/>
    <x v="0"/>
    <x v="0"/>
  </r>
  <r>
    <x v="1"/>
    <x v="1"/>
    <x v="0"/>
    <x v="1"/>
    <x v="1"/>
    <x v="1"/>
    <x v="1"/>
    <x v="1"/>
    <x v="1"/>
    <x v="1"/>
    <x v="1"/>
    <x v="1"/>
  </r>
  <r>
    <x v="2"/>
    <x v="2"/>
    <x v="1"/>
    <x v="2"/>
    <x v="2"/>
    <x v="2"/>
    <x v="2"/>
    <x v="2"/>
    <x v="2"/>
    <x v="2"/>
    <x v="2"/>
    <x v="2"/>
  </r>
  <r>
    <x v="3"/>
    <x v="3"/>
    <x v="0"/>
    <x v="3"/>
    <x v="3"/>
    <x v="1"/>
    <x v="3"/>
    <x v="3"/>
    <x v="3"/>
    <x v="3"/>
    <x v="3"/>
    <x v="3"/>
  </r>
  <r>
    <x v="4"/>
    <x v="4"/>
    <x v="0"/>
    <x v="4"/>
    <x v="4"/>
    <x v="3"/>
    <x v="4"/>
    <x v="4"/>
    <x v="4"/>
    <x v="4"/>
    <x v="3"/>
    <x v="0"/>
  </r>
  <r>
    <x v="5"/>
    <x v="5"/>
    <x v="1"/>
    <x v="5"/>
    <x v="5"/>
    <x v="2"/>
    <x v="5"/>
    <x v="5"/>
    <x v="5"/>
    <x v="5"/>
    <x v="4"/>
    <x v="4"/>
  </r>
  <r>
    <x v="6"/>
    <x v="6"/>
    <x v="0"/>
    <x v="6"/>
    <x v="6"/>
    <x v="4"/>
    <x v="6"/>
    <x v="6"/>
    <x v="6"/>
    <x v="6"/>
    <x v="5"/>
    <x v="5"/>
  </r>
  <r>
    <x v="7"/>
    <x v="7"/>
    <x v="1"/>
    <x v="7"/>
    <x v="7"/>
    <x v="5"/>
    <x v="7"/>
    <x v="7"/>
    <x v="7"/>
    <x v="7"/>
    <x v="6"/>
    <x v="6"/>
  </r>
  <r>
    <x v="8"/>
    <x v="8"/>
    <x v="0"/>
    <x v="8"/>
    <x v="8"/>
    <x v="6"/>
    <x v="8"/>
    <x v="8"/>
    <x v="8"/>
    <x v="8"/>
    <x v="7"/>
    <x v="7"/>
  </r>
  <r>
    <x v="9"/>
    <x v="9"/>
    <x v="1"/>
    <x v="9"/>
    <x v="9"/>
    <x v="7"/>
    <x v="9"/>
    <x v="9"/>
    <x v="9"/>
    <x v="9"/>
    <x v="8"/>
    <x v="2"/>
  </r>
  <r>
    <x v="10"/>
    <x v="10"/>
    <x v="1"/>
    <x v="10"/>
    <x v="10"/>
    <x v="8"/>
    <x v="10"/>
    <x v="10"/>
    <x v="10"/>
    <x v="10"/>
    <x v="9"/>
    <x v="8"/>
  </r>
  <r>
    <x v="11"/>
    <x v="11"/>
    <x v="1"/>
    <x v="11"/>
    <x v="11"/>
    <x v="9"/>
    <x v="11"/>
    <x v="11"/>
    <x v="11"/>
    <x v="11"/>
    <x v="10"/>
    <x v="0"/>
  </r>
  <r>
    <x v="12"/>
    <x v="12"/>
    <x v="0"/>
    <x v="12"/>
    <x v="12"/>
    <x v="10"/>
    <x v="12"/>
    <x v="12"/>
    <x v="12"/>
    <x v="12"/>
    <x v="11"/>
    <x v="3"/>
  </r>
  <r>
    <x v="13"/>
    <x v="13"/>
    <x v="0"/>
    <x v="13"/>
    <x v="13"/>
    <x v="11"/>
    <x v="13"/>
    <x v="13"/>
    <x v="4"/>
    <x v="13"/>
    <x v="12"/>
    <x v="9"/>
  </r>
  <r>
    <x v="14"/>
    <x v="14"/>
    <x v="1"/>
    <x v="14"/>
    <x v="14"/>
    <x v="12"/>
    <x v="11"/>
    <x v="3"/>
    <x v="13"/>
    <x v="14"/>
    <x v="13"/>
    <x v="10"/>
  </r>
  <r>
    <x v="15"/>
    <x v="15"/>
    <x v="0"/>
    <x v="15"/>
    <x v="15"/>
    <x v="13"/>
    <x v="14"/>
    <x v="14"/>
    <x v="14"/>
    <x v="15"/>
    <x v="14"/>
    <x v="11"/>
  </r>
  <r>
    <x v="16"/>
    <x v="2"/>
    <x v="1"/>
    <x v="16"/>
    <x v="5"/>
    <x v="14"/>
    <x v="15"/>
    <x v="15"/>
    <x v="15"/>
    <x v="16"/>
    <x v="15"/>
    <x v="1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x v="0"/>
    <x v="0"/>
    <x v="0"/>
  </r>
  <r>
    <x v="1"/>
    <x v="1"/>
    <x v="0"/>
    <x v="1"/>
  </r>
  <r>
    <x v="2"/>
    <x v="2"/>
    <x v="1"/>
    <x v="2"/>
  </r>
  <r>
    <x v="3"/>
    <x v="2"/>
    <x v="2"/>
    <x v="3"/>
  </r>
  <r>
    <x v="4"/>
    <x v="1"/>
    <x v="3"/>
    <x v="1"/>
  </r>
  <r>
    <x v="5"/>
    <x v="3"/>
    <x v="4"/>
    <x v="4"/>
  </r>
  <r>
    <x v="6"/>
    <x v="2"/>
    <x v="5"/>
    <x v="1"/>
  </r>
  <r>
    <x v="7"/>
    <x v="3"/>
    <x v="6"/>
    <x v="5"/>
  </r>
  <r>
    <x v="8"/>
    <x v="2"/>
    <x v="0"/>
    <x v="1"/>
  </r>
  <r>
    <x v="9"/>
    <x v="1"/>
    <x v="1"/>
    <x v="4"/>
  </r>
  <r>
    <x v="10"/>
    <x v="0"/>
    <x v="0"/>
    <x v="1"/>
  </r>
  <r>
    <x v="11"/>
    <x v="3"/>
    <x v="7"/>
    <x v="5"/>
  </r>
  <r>
    <x v="12"/>
    <x v="3"/>
    <x v="8"/>
    <x v="5"/>
  </r>
  <r>
    <x v="13"/>
    <x v="1"/>
    <x v="0"/>
    <x v="4"/>
  </r>
  <r>
    <x v="14"/>
    <x v="1"/>
    <x v="5"/>
    <x v="2"/>
  </r>
  <r>
    <x v="15"/>
    <x v="0"/>
    <x v="1"/>
    <x v="4"/>
  </r>
  <r>
    <x v="16"/>
    <x v="2"/>
    <x v="9"/>
    <x v="6"/>
  </r>
  <r>
    <x v="17"/>
    <x v="2"/>
    <x v="10"/>
    <x v="6"/>
  </r>
  <r>
    <x v="18"/>
    <x v="1"/>
    <x v="0"/>
    <x v="0"/>
  </r>
  <r>
    <x v="19"/>
    <x v="2"/>
    <x v="8"/>
    <x v="5"/>
  </r>
  <r>
    <x v="20"/>
    <x v="1"/>
    <x v="1"/>
    <x v="2"/>
  </r>
  <r>
    <x v="21"/>
    <x v="0"/>
    <x v="1"/>
    <x v="4"/>
  </r>
  <r>
    <x v="22"/>
    <x v="2"/>
    <x v="4"/>
    <x v="1"/>
  </r>
  <r>
    <x v="23"/>
    <x v="0"/>
    <x v="8"/>
    <x v="5"/>
  </r>
  <r>
    <x v="24"/>
    <x v="3"/>
    <x v="11"/>
    <x v="2"/>
  </r>
  <r>
    <x v="25"/>
    <x v="3"/>
    <x v="12"/>
    <x v="6"/>
  </r>
  <r>
    <x v="26"/>
    <x v="0"/>
    <x v="13"/>
    <x v="2"/>
  </r>
  <r>
    <x v="27"/>
    <x v="2"/>
    <x v="6"/>
    <x v="4"/>
  </r>
  <r>
    <x v="28"/>
    <x v="0"/>
    <x v="0"/>
    <x v="2"/>
  </r>
  <r>
    <x v="29"/>
    <x v="1"/>
    <x v="8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C1BC25-742A-4F47-A2A1-BE8C569F9B1E}" name="피벗 테이블1" cacheId="0" applyNumberFormats="0" applyBorderFormats="0" applyFontFormats="0" applyPatternFormats="0" applyAlignmentFormats="0" applyWidthHeightFormats="1" dataCaption="값" updatedVersion="7" minRefreshableVersion="3" useAutoFormatting="1" itemPrintTitles="1" createdVersion="7" indent="0" compact="0" outline="1" outlineData="1" compactData="0" multipleFieldFilters="0" fieldListSortAscending="1">
  <location ref="A3:D13" firstHeaderRow="0" firstDataRow="1" firstDataCol="2" rowPageCount="1" colPageCount="1"/>
  <pivotFields count="9">
    <pivotField axis="axisPage" compact="0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axis="axisRow" compact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compact="0" showAll="0">
      <items count="7">
        <item x="0"/>
        <item h="1" x="5"/>
        <item x="1"/>
        <item h="1" x="4"/>
        <item x="3"/>
        <item h="1" x="2"/>
        <item t="default"/>
      </items>
    </pivotField>
    <pivotField compact="0" showAll="0"/>
    <pivotField dataField="1" compact="0" showAll="0"/>
    <pivotField compact="0" showAll="0"/>
    <pivotField compact="0" showAll="0"/>
    <pivotField compact="0" showAll="0"/>
    <pivotField dataField="1" compact="0" showAll="0"/>
  </pivotFields>
  <rowFields count="2">
    <field x="2"/>
    <field x="1"/>
  </rowFields>
  <rowItems count="10">
    <i>
      <x/>
    </i>
    <i r="1">
      <x v="1"/>
    </i>
    <i>
      <x v="2"/>
    </i>
    <i r="1">
      <x v="1"/>
    </i>
    <i r="1">
      <x v="2"/>
    </i>
    <i r="1">
      <x v="3"/>
    </i>
    <i>
      <x v="4"/>
    </i>
    <i r="1">
      <x v="1"/>
    </i>
    <i r="1">
      <x v="2"/>
    </i>
    <i t="grand">
      <x/>
    </i>
  </rowItems>
  <colFields count="1">
    <field x="-2"/>
  </colFields>
  <colItems count="2">
    <i>
      <x/>
    </i>
    <i i="1">
      <x v="1"/>
    </i>
  </colItems>
  <pageFields count="1">
    <pageField fld="0" hier="-1"/>
  </pageFields>
  <dataFields count="2">
    <dataField name="평균 : 단위당원가" fld="4" subtotal="average" showDataAs="percentOfCol" baseField="2" baseItem="0" numFmtId="176"/>
    <dataField name="평균 : 목표매출액" fld="8" subtotal="average" showDataAs="percentOfCol" baseField="0" baseItem="0" numFmtId="176"/>
  </dataField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E4823C-F4D2-408A-8CE4-4A4E7779BB5C}" name="피벗 테이블2" cacheId="1" dataOnRows="1" applyNumberFormats="0" applyBorderFormats="0" applyFontFormats="0" applyPatternFormats="0" applyAlignmentFormats="0" applyWidthHeightFormats="1" dataCaption="값" updatedVersion="7" minRefreshableVersion="3" useAutoFormatting="1" subtotalHiddenItems="1" itemPrintTitles="1" createdVersion="8" indent="0" compact="0" compactData="0" multipleFieldFilters="0">
  <location ref="A3:C13" firstHeaderRow="1" firstDataRow="1" firstDataCol="2" rowPageCount="1" colPageCount="1"/>
  <pivotFields count="4">
    <pivotField axis="axisPage" compact="0" allDrilled="1" outline="0" showAll="0" dataSourceSort="1" defaultSubtotal="0" defaultAttributeDrillState="1"/>
    <pivotField dataField="1" compact="0" outline="0" showAll="0" defaultSubtotal="0"/>
    <pivotField dataField="1" compact="0" outline="0" showAll="0" defaultSubtotal="0"/>
    <pivotField axis="axisRow" compact="0" allDrilled="1" outline="0" subtotalTop="0" showAll="0" dataSourceSort="1" defaultSubtotal="0" defaultAttributeDrillState="1">
      <items count="4">
        <item x="0"/>
        <item x="1"/>
        <item x="2"/>
        <item x="3"/>
      </items>
    </pivotField>
  </pivotFields>
  <rowFields count="2">
    <field x="-2"/>
    <field x="3"/>
  </rowFields>
  <rowItems count="10">
    <i>
      <x/>
      <x/>
    </i>
    <i r="1">
      <x v="1"/>
    </i>
    <i r="1">
      <x v="2"/>
    </i>
    <i r="1">
      <x v="3"/>
    </i>
    <i i="1">
      <x v="1"/>
      <x/>
    </i>
    <i r="1" i="1">
      <x v="1"/>
    </i>
    <i r="1" i="1">
      <x v="2"/>
    </i>
    <i r="1" i="1">
      <x v="3"/>
    </i>
    <i t="grand">
      <x/>
    </i>
    <i t="grand" i="1">
      <x v="1"/>
    </i>
  </rowItems>
  <colItems count="1">
    <i/>
  </colItems>
  <pageFields count="1">
    <pageField fld="0" hier="1" name="[상공대학].[수강과목].&amp;[액세스]" cap="액세스"/>
  </pageFields>
  <dataFields count="2">
    <dataField name="합계: 중간" fld="1" baseField="0" baseItem="0" numFmtId="177"/>
    <dataField name="합계: 기말" fld="2" baseField="0" baseItem="0" numFmtId="177"/>
  </dataFields>
  <pivotHierarchies count="8"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22" showRowHeaders="1" showColHeaders="1" showRowStripes="1" showColStripes="0" showLastColumn="1"/>
  <rowHierarchiesUsage count="2">
    <rowHierarchyUsage hierarchyUsage="-2"/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상공대학">
        <x15:activeTabTopLevelEntity name="[상공대학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C813FD-B819-408B-B467-2B73C95428D0}" name="피벗 테이블1" cacheId="11" applyNumberFormats="0" applyBorderFormats="0" applyFontFormats="0" applyPatternFormats="0" applyAlignmentFormats="0" applyWidthHeightFormats="1" dataCaption="값" updatedVersion="7" minRefreshableVersion="3" useAutoFormatting="1" itemPrintTitles="1" createdVersion="7" indent="0" compact="0" outline="1" outlineData="1" compactData="0" multipleFieldFilters="0" fieldListSortAscending="1">
  <location ref="A3:E8" firstHeaderRow="0" firstDataRow="1" firstDataCol="2" rowPageCount="1" colPageCount="1"/>
  <pivotFields count="6">
    <pivotField axis="axisRow" compact="0" showAll="0">
      <items count="31">
        <item x="29"/>
        <item x="19"/>
        <item x="17"/>
        <item x="11"/>
        <item x="23"/>
        <item x="26"/>
        <item x="14"/>
        <item x="18"/>
        <item x="22"/>
        <item x="6"/>
        <item x="12"/>
        <item x="24"/>
        <item x="10"/>
        <item x="28"/>
        <item x="1"/>
        <item x="4"/>
        <item x="13"/>
        <item x="20"/>
        <item x="27"/>
        <item x="2"/>
        <item x="8"/>
        <item x="5"/>
        <item x="0"/>
        <item x="9"/>
        <item x="3"/>
        <item x="16"/>
        <item x="7"/>
        <item x="25"/>
        <item x="21"/>
        <item x="15"/>
        <item t="default"/>
      </items>
    </pivotField>
    <pivotField axis="axisPage" compact="0" showAll="0">
      <items count="5">
        <item x="2"/>
        <item x="3"/>
        <item x="1"/>
        <item x="0"/>
        <item t="default"/>
      </items>
    </pivotField>
    <pivotField dataField="1" compact="0" showAll="0"/>
    <pivotField dataField="1" compact="0" showAll="0"/>
    <pivotField dataField="1" compact="0" dragToRow="0" dragToCol="0" dragToPage="0" showAll="0" defaultSubtotal="0"/>
    <pivotField axis="axisRow" compact="0" showAll="0">
      <items count="5">
        <item n="예부적금담보" sd="0" x="3"/>
        <item n="국민주택기금" sd="0" x="1"/>
        <item n="주택자금" sd="0" x="0"/>
        <item n="무보증신용" sd="0" x="2"/>
        <item t="default" sd="0"/>
      </items>
    </pivotField>
  </pivotFields>
  <rowFields count="2">
    <field x="5"/>
    <field x="0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" hier="-1"/>
  </pageFields>
  <dataFields count="3">
    <dataField name="합계 : 대출금액" fld="2" baseField="5" baseItem="0" numFmtId="178"/>
    <dataField name="합계 : 기간" fld="3" baseField="0" baseItem="0"/>
    <dataField name="합계 : 월이자" fld="4" baseField="5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6A30CD0-B05A-4DEA-B82E-789B297327B5}" name="피벗 테이블4" cacheId="3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compact="0" outline="1" outlineData="1" compactData="0" multipleFieldFilters="0" fieldListSortAscending="1">
  <location ref="A4:D25" firstHeaderRow="0" firstDataRow="1" firstDataCol="2"/>
  <pivotFields count="12">
    <pivotField compact="0" subtotalTop="0" showAll="0"/>
    <pivotField axis="axisRow" compact="0" subtotalTop="0" showAll="0">
      <items count="17">
        <item x="1"/>
        <item x="4"/>
        <item x="14"/>
        <item x="13"/>
        <item x="6"/>
        <item x="11"/>
        <item x="3"/>
        <item x="2"/>
        <item x="0"/>
        <item x="12"/>
        <item x="7"/>
        <item x="8"/>
        <item x="5"/>
        <item x="15"/>
        <item x="9"/>
        <item x="10"/>
        <item t="default"/>
      </items>
    </pivotField>
    <pivotField axis="axisRow" compact="0" subtotalTop="0" showAll="0">
      <items count="3">
        <item x="1"/>
        <item x="0"/>
        <item t="default"/>
      </items>
    </pivotField>
    <pivotField dataField="1" compact="0" subtotalTop="0" showAll="0"/>
    <pivotField dataField="1" compact="0" subtotalTop="0" showAll="0"/>
    <pivotField compact="0" subtotalTop="0" showAll="0"/>
    <pivotField compact="0" subtotalTop="0" showAll="0"/>
    <pivotField compact="0" subtotalTop="0" showAll="0"/>
    <pivotField compact="0" subtotalTop="0" showAll="0"/>
    <pivotField compact="0" subtotalTop="0" showAll="0"/>
    <pivotField compact="0" subtotalTop="0" showAll="0"/>
    <pivotField compact="0" subtotalTop="0" showAll="0"/>
  </pivotFields>
  <rowFields count="2">
    <field x="2"/>
    <field x="1"/>
  </rowFields>
  <rowItems count="21">
    <i>
      <x/>
    </i>
    <i r="1">
      <x v="2"/>
    </i>
    <i r="1">
      <x v="5"/>
    </i>
    <i r="1">
      <x v="7"/>
    </i>
    <i r="1">
      <x v="10"/>
    </i>
    <i r="1">
      <x v="12"/>
    </i>
    <i r="1">
      <x v="14"/>
    </i>
    <i r="1">
      <x v="15"/>
    </i>
    <i t="default">
      <x/>
    </i>
    <i>
      <x v="1"/>
    </i>
    <i r="1">
      <x/>
    </i>
    <i r="1">
      <x v="1"/>
    </i>
    <i r="1">
      <x v="3"/>
    </i>
    <i r="1">
      <x v="4"/>
    </i>
    <i r="1">
      <x v="6"/>
    </i>
    <i r="1">
      <x v="8"/>
    </i>
    <i r="1">
      <x v="9"/>
    </i>
    <i r="1">
      <x v="11"/>
    </i>
    <i r="1">
      <x v="13"/>
    </i>
    <i t="default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평균 : 종사자수" fld="3" subtotal="average" baseField="1" baseItem="2" numFmtId="179"/>
    <dataField name="평균 : 월평균임금" fld="4" subtotal="average" baseField="1" baseItem="5" numFmtId="179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A3A3BCF-F534-4C71-AE38-5F814D3E2BCE}" name="표1" displayName="표1" ref="A1:I2" totalsRowShown="0">
  <autoFilter ref="A1:I2" xr:uid="{AA3A3BCF-F534-4C71-AE38-5F814D3E2BCE}"/>
  <tableColumns count="9">
    <tableColumn id="1" xr3:uid="{C5E52859-7B33-47E5-B364-A97EDAFF0E42}" name="제조순번"/>
    <tableColumn id="2" xr3:uid="{E8552502-0590-4E24-9D5A-E8F71D94E901}" name="가공일" dataDxfId="0"/>
    <tableColumn id="3" xr3:uid="{3483337E-13DB-4FB6-88C3-10E5585AF49D}" name="가공팀"/>
    <tableColumn id="4" xr3:uid="{E61DA8C7-CD45-4FBE-A4B5-7A2974E6E4CC}" name="가공품명"/>
    <tableColumn id="5" xr3:uid="{203E984F-8B7D-419D-A251-6F9629DA03F8}" name="단위당원가"/>
    <tableColumn id="6" xr3:uid="{82941939-C002-4D5B-A666-BA032D78F51F}" name="가공수량"/>
    <tableColumn id="7" xr3:uid="{579C0B1A-4830-4358-ABFF-2B02F0BE191A}" name="불량율"/>
    <tableColumn id="8" xr3:uid="{29902462-C172-417E-8321-B6F6E4FE50C6}" name="가공원가"/>
    <tableColumn id="9" xr3:uid="{E90B8EC9-3D27-4564-8314-8F157D0C4DEE}" name="목표매출액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BBFBC74-0201-46F7-A7E9-251B577B0BC5}" name="표2" displayName="표2" ref="A1:L3" totalsRowShown="0">
  <autoFilter ref="A1:L3" xr:uid="{3BBFBC74-0201-46F7-A7E9-251B577B0BC5}"/>
  <tableColumns count="12">
    <tableColumn id="1" xr3:uid="{4268F50A-CF6A-4899-AEDA-A490DFCB32A1}" name="ID"/>
    <tableColumn id="2" xr3:uid="{1FAAAFBB-8E6B-4C79-8F18-AD35FF2821F3}" name="분류"/>
    <tableColumn id="3" xr3:uid="{925E1644-988F-433D-BB95-FFDE37EB952A}" name="업무"/>
    <tableColumn id="4" xr3:uid="{CFEC397A-8FD9-4AB9-BED1-91E34EF77CC8}" name="종사자수"/>
    <tableColumn id="5" xr3:uid="{8D2DA46E-F1C7-4A96-AB3E-874213701EA4}" name="월평균임금"/>
    <tableColumn id="6" xr3:uid="{F90541F2-18F5-4A4E-815F-3DAC7F196575}" name="평균학력"/>
    <tableColumn id="7" xr3:uid="{FE5E7D20-DD86-4087-BCCE-F12DFBF9FBB2}" name="평균연령"/>
    <tableColumn id="8" xr3:uid="{6805B16A-2F41-4EEC-BD17-8A5BC4214F4E}" name="평균근속년수"/>
    <tableColumn id="9" xr3:uid="{BACA3501-4316-4532-A2D1-10B33273F03B}" name="평균경력"/>
    <tableColumn id="10" xr3:uid="{6FA2DEC8-2AC1-4393-8864-159CE346F1FA}" name="주당작업시간"/>
    <tableColumn id="11" xr3:uid="{6FC3A6D4-A9B9-43EE-9A41-3CA1AD8F9893}" name="여성비율"/>
    <tableColumn id="12" xr3:uid="{5AC9A9D0-FC76-46A2-B528-56B9EAE64D5A}" name="임금근로자수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F410F-1320-40A6-8452-6F37104D86F6}">
  <dimension ref="A1:I2"/>
  <sheetViews>
    <sheetView workbookViewId="0"/>
  </sheetViews>
  <sheetFormatPr defaultRowHeight="17" x14ac:dyDescent="0.45"/>
  <cols>
    <col min="1" max="1" width="10.25" customWidth="1"/>
    <col min="2" max="2" width="11.08203125" bestFit="1" customWidth="1"/>
    <col min="4" max="4" width="10.25" customWidth="1"/>
    <col min="5" max="5" width="12.08203125" customWidth="1"/>
    <col min="6" max="6" width="10.25" customWidth="1"/>
    <col min="8" max="8" width="10.25" customWidth="1"/>
    <col min="9" max="9" width="12.08203125" customWidth="1"/>
  </cols>
  <sheetData>
    <row r="1" spans="1:9" x14ac:dyDescent="0.45">
      <c r="A1" t="s">
        <v>0</v>
      </c>
      <c r="B1" t="s">
        <v>10</v>
      </c>
      <c r="C1" t="s">
        <v>9</v>
      </c>
      <c r="D1" t="s">
        <v>13</v>
      </c>
      <c r="E1" t="s">
        <v>14</v>
      </c>
      <c r="F1" t="s">
        <v>15</v>
      </c>
      <c r="G1" t="s">
        <v>16</v>
      </c>
      <c r="H1" t="s">
        <v>17</v>
      </c>
      <c r="I1" t="s">
        <v>18</v>
      </c>
    </row>
    <row r="2" spans="1:9" x14ac:dyDescent="0.45">
      <c r="A2" t="s">
        <v>19</v>
      </c>
      <c r="B2" s="4">
        <v>44989</v>
      </c>
      <c r="C2" t="s">
        <v>3</v>
      </c>
      <c r="D2" t="s">
        <v>20</v>
      </c>
      <c r="E2">
        <v>150</v>
      </c>
      <c r="F2">
        <v>860</v>
      </c>
      <c r="G2">
        <v>0.1</v>
      </c>
      <c r="H2">
        <v>129000</v>
      </c>
      <c r="I2">
        <v>141900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90BC4-EAA5-4934-82F1-9B691A3B87BD}">
  <dimension ref="A1:D13"/>
  <sheetViews>
    <sheetView workbookViewId="0"/>
  </sheetViews>
  <sheetFormatPr defaultRowHeight="17" x14ac:dyDescent="0.45"/>
  <cols>
    <col min="1" max="1" width="11.83203125" bestFit="1" customWidth="1"/>
    <col min="2" max="2" width="9.08203125" bestFit="1" customWidth="1"/>
    <col min="3" max="4" width="16.83203125" bestFit="1" customWidth="1"/>
    <col min="5" max="5" width="17.33203125" bestFit="1" customWidth="1"/>
  </cols>
  <sheetData>
    <row r="1" spans="1:4" x14ac:dyDescent="0.45">
      <c r="A1" s="1" t="s">
        <v>0</v>
      </c>
      <c r="B1" t="s">
        <v>1</v>
      </c>
    </row>
    <row r="3" spans="1:4" x14ac:dyDescent="0.45">
      <c r="A3" s="1" t="s">
        <v>9</v>
      </c>
      <c r="B3" s="1" t="s">
        <v>10</v>
      </c>
      <c r="C3" t="s">
        <v>11</v>
      </c>
      <c r="D3" t="s">
        <v>12</v>
      </c>
    </row>
    <row r="4" spans="1:4" x14ac:dyDescent="0.45">
      <c r="A4" t="s">
        <v>2</v>
      </c>
      <c r="C4" s="3">
        <v>1.0555555555555556</v>
      </c>
      <c r="D4" s="3">
        <v>1.0217613888167245</v>
      </c>
    </row>
    <row r="5" spans="1:4" x14ac:dyDescent="0.45">
      <c r="B5" t="s">
        <v>6</v>
      </c>
      <c r="C5" s="3">
        <v>1.0555555555555556</v>
      </c>
      <c r="D5" s="3">
        <v>1.0217613888167245</v>
      </c>
    </row>
    <row r="6" spans="1:4" x14ac:dyDescent="0.45">
      <c r="A6" t="s">
        <v>3</v>
      </c>
      <c r="C6" s="3">
        <v>0.95781893004115215</v>
      </c>
      <c r="D6" s="3">
        <v>0.98350703730305489</v>
      </c>
    </row>
    <row r="7" spans="1:4" x14ac:dyDescent="0.45">
      <c r="B7" t="s">
        <v>6</v>
      </c>
      <c r="C7" s="3">
        <v>1.125925925925926</v>
      </c>
      <c r="D7" s="3">
        <v>1.1298317465653989</v>
      </c>
    </row>
    <row r="8" spans="1:4" x14ac:dyDescent="0.45">
      <c r="B8" t="s">
        <v>7</v>
      </c>
      <c r="C8" s="3">
        <v>0.86008230452674905</v>
      </c>
      <c r="D8" s="3">
        <v>0.8881494159777088</v>
      </c>
    </row>
    <row r="9" spans="1:4" x14ac:dyDescent="0.45">
      <c r="B9" t="s">
        <v>8</v>
      </c>
      <c r="C9" s="3">
        <v>0.70370370370370372</v>
      </c>
      <c r="D9" s="3">
        <v>0.8240292189434113</v>
      </c>
    </row>
    <row r="10" spans="1:4" x14ac:dyDescent="0.45">
      <c r="A10" t="s">
        <v>4</v>
      </c>
      <c r="C10" s="3">
        <v>1.0790123456790124</v>
      </c>
      <c r="D10" s="3">
        <v>1.0308785549459787</v>
      </c>
    </row>
    <row r="11" spans="1:4" x14ac:dyDescent="0.45">
      <c r="B11" t="s">
        <v>6</v>
      </c>
      <c r="C11" s="3">
        <v>1.094650205761317</v>
      </c>
      <c r="D11" s="3">
        <v>1.096189209978045</v>
      </c>
    </row>
    <row r="12" spans="1:4" x14ac:dyDescent="0.45">
      <c r="B12" t="s">
        <v>7</v>
      </c>
      <c r="C12" s="3">
        <v>1.0555555555555556</v>
      </c>
      <c r="D12" s="3">
        <v>0.93291257239787895</v>
      </c>
    </row>
    <row r="13" spans="1:4" x14ac:dyDescent="0.45">
      <c r="A13" t="s">
        <v>5</v>
      </c>
      <c r="C13" s="3">
        <v>1</v>
      </c>
      <c r="D13" s="3">
        <v>1</v>
      </c>
    </row>
  </sheetData>
  <phoneticPr fontId="1" type="noConversion"/>
  <pageMargins left="0.7" right="0.7" top="0.75" bottom="0.75" header="0.3" footer="0.3"/>
  <pageSetup paperSize="9" orientation="portrait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632CD-1AC7-40C4-91D3-C47DA1AC871F}">
  <dimension ref="A1:C13"/>
  <sheetViews>
    <sheetView workbookViewId="0"/>
  </sheetViews>
  <sheetFormatPr defaultRowHeight="17" x14ac:dyDescent="0.45"/>
  <cols>
    <col min="1" max="1" width="10.33203125" bestFit="1" customWidth="1"/>
    <col min="2" max="2" width="9.08203125" bestFit="1" customWidth="1"/>
    <col min="3" max="3" width="7" bestFit="1" customWidth="1"/>
  </cols>
  <sheetData>
    <row r="1" spans="1:3" x14ac:dyDescent="0.45">
      <c r="A1" s="1" t="s">
        <v>21</v>
      </c>
      <c r="B1" t="s" vm="1">
        <v>22</v>
      </c>
    </row>
    <row r="3" spans="1:3" x14ac:dyDescent="0.45">
      <c r="A3" s="1" t="s">
        <v>24</v>
      </c>
      <c r="B3" s="1" t="s">
        <v>23</v>
      </c>
    </row>
    <row r="4" spans="1:3" x14ac:dyDescent="0.45">
      <c r="A4" t="s">
        <v>26</v>
      </c>
      <c r="B4" t="s">
        <v>25</v>
      </c>
      <c r="C4" s="5">
        <v>84</v>
      </c>
    </row>
    <row r="5" spans="1:3" x14ac:dyDescent="0.45">
      <c r="B5" t="s">
        <v>28</v>
      </c>
      <c r="C5" s="5">
        <v>55</v>
      </c>
    </row>
    <row r="6" spans="1:3" x14ac:dyDescent="0.45">
      <c r="B6" t="s">
        <v>29</v>
      </c>
      <c r="C6" s="5">
        <v>79</v>
      </c>
    </row>
    <row r="7" spans="1:3" x14ac:dyDescent="0.45">
      <c r="B7" t="s">
        <v>30</v>
      </c>
      <c r="C7" s="5">
        <v>98</v>
      </c>
    </row>
    <row r="8" spans="1:3" x14ac:dyDescent="0.45">
      <c r="A8" t="s">
        <v>27</v>
      </c>
      <c r="B8" t="s">
        <v>25</v>
      </c>
      <c r="C8" s="5">
        <v>75</v>
      </c>
    </row>
    <row r="9" spans="1:3" x14ac:dyDescent="0.45">
      <c r="B9" t="s">
        <v>28</v>
      </c>
      <c r="C9" s="5">
        <v>67</v>
      </c>
    </row>
    <row r="10" spans="1:3" x14ac:dyDescent="0.45">
      <c r="B10" t="s">
        <v>29</v>
      </c>
      <c r="C10" s="5">
        <v>85</v>
      </c>
    </row>
    <row r="11" spans="1:3" x14ac:dyDescent="0.45">
      <c r="B11" t="s">
        <v>30</v>
      </c>
      <c r="C11" s="5">
        <v>84</v>
      </c>
    </row>
    <row r="12" spans="1:3" x14ac:dyDescent="0.45">
      <c r="A12" t="s">
        <v>31</v>
      </c>
      <c r="C12" s="5">
        <v>316</v>
      </c>
    </row>
    <row r="13" spans="1:3" x14ac:dyDescent="0.45">
      <c r="A13" t="s">
        <v>32</v>
      </c>
      <c r="C13" s="5">
        <v>311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A1F743-FB19-40D4-8F83-C54DA7E0D4C1}">
  <dimension ref="A1:E8"/>
  <sheetViews>
    <sheetView tabSelected="1" workbookViewId="0"/>
  </sheetViews>
  <sheetFormatPr defaultRowHeight="17" x14ac:dyDescent="0.45"/>
  <cols>
    <col min="1" max="1" width="15.33203125" bestFit="1" customWidth="1"/>
    <col min="2" max="2" width="11.25" bestFit="1" customWidth="1"/>
    <col min="3" max="3" width="15.25" bestFit="1" customWidth="1"/>
    <col min="4" max="4" width="11.08203125" bestFit="1" customWidth="1"/>
    <col min="5" max="5" width="13.08203125" bestFit="1" customWidth="1"/>
  </cols>
  <sheetData>
    <row r="1" spans="1:5" x14ac:dyDescent="0.45">
      <c r="A1" s="1" t="s">
        <v>33</v>
      </c>
      <c r="B1" t="s">
        <v>1</v>
      </c>
    </row>
    <row r="3" spans="1:5" x14ac:dyDescent="0.45">
      <c r="A3" s="1" t="s">
        <v>38</v>
      </c>
      <c r="B3" s="1" t="s">
        <v>36</v>
      </c>
      <c r="C3" t="s">
        <v>34</v>
      </c>
      <c r="D3" t="s">
        <v>35</v>
      </c>
      <c r="E3" t="s">
        <v>37</v>
      </c>
    </row>
    <row r="4" spans="1:5" x14ac:dyDescent="0.45">
      <c r="A4" t="s">
        <v>42</v>
      </c>
      <c r="C4" s="6">
        <v>18500000</v>
      </c>
      <c r="D4" s="2">
        <v>276</v>
      </c>
      <c r="E4" s="6">
        <v>77083.333333333328</v>
      </c>
    </row>
    <row r="5" spans="1:5" x14ac:dyDescent="0.45">
      <c r="A5" t="s">
        <v>40</v>
      </c>
      <c r="C5" s="6">
        <v>60000000</v>
      </c>
      <c r="D5" s="2">
        <v>240</v>
      </c>
      <c r="E5" s="6">
        <v>250000</v>
      </c>
    </row>
    <row r="6" spans="1:5" x14ac:dyDescent="0.45">
      <c r="A6" t="s">
        <v>39</v>
      </c>
      <c r="C6" s="6">
        <v>119000000</v>
      </c>
      <c r="D6" s="2">
        <v>282</v>
      </c>
      <c r="E6" s="6">
        <v>495833.33333333331</v>
      </c>
    </row>
    <row r="7" spans="1:5" x14ac:dyDescent="0.45">
      <c r="A7" t="s">
        <v>41</v>
      </c>
      <c r="C7" s="6">
        <v>46000000</v>
      </c>
      <c r="D7" s="2">
        <v>264</v>
      </c>
      <c r="E7" s="6">
        <v>191666.66666666666</v>
      </c>
    </row>
    <row r="8" spans="1:5" x14ac:dyDescent="0.45">
      <c r="A8" t="s">
        <v>5</v>
      </c>
      <c r="C8" s="6">
        <v>243500000</v>
      </c>
      <c r="D8" s="2">
        <v>1062</v>
      </c>
      <c r="E8" s="6">
        <v>1014583.3333333334</v>
      </c>
    </row>
  </sheetData>
  <phoneticPr fontId="1" type="noConversion"/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869EAB-5D30-4BD4-BA1B-D2D40EE45684}">
  <dimension ref="A1:L3"/>
  <sheetViews>
    <sheetView workbookViewId="0"/>
  </sheetViews>
  <sheetFormatPr defaultRowHeight="17" x14ac:dyDescent="0.45"/>
  <cols>
    <col min="4" max="4" width="10.25" customWidth="1"/>
    <col min="5" max="5" width="12.08203125" customWidth="1"/>
    <col min="6" max="7" width="10.25" customWidth="1"/>
    <col min="8" max="8" width="14" customWidth="1"/>
    <col min="9" max="9" width="10.25" customWidth="1"/>
    <col min="10" max="10" width="14" customWidth="1"/>
    <col min="11" max="11" width="10.25" customWidth="1"/>
    <col min="12" max="12" width="14" customWidth="1"/>
  </cols>
  <sheetData>
    <row r="1" spans="1:12" x14ac:dyDescent="0.45">
      <c r="A1" t="s">
        <v>67</v>
      </c>
      <c r="B1" t="s">
        <v>44</v>
      </c>
      <c r="C1" t="s">
        <v>43</v>
      </c>
      <c r="D1" t="s">
        <v>68</v>
      </c>
      <c r="E1" t="s">
        <v>69</v>
      </c>
      <c r="F1" t="s">
        <v>70</v>
      </c>
      <c r="G1" t="s">
        <v>71</v>
      </c>
      <c r="H1" t="s">
        <v>72</v>
      </c>
      <c r="I1" t="s">
        <v>73</v>
      </c>
      <c r="J1" t="s">
        <v>74</v>
      </c>
      <c r="K1" t="s">
        <v>75</v>
      </c>
      <c r="L1" t="s">
        <v>76</v>
      </c>
    </row>
    <row r="2" spans="1:12" x14ac:dyDescent="0.45">
      <c r="A2">
        <v>19</v>
      </c>
      <c r="B2" t="s">
        <v>50</v>
      </c>
      <c r="C2" t="s">
        <v>47</v>
      </c>
      <c r="D2">
        <v>1250</v>
      </c>
      <c r="E2">
        <v>225</v>
      </c>
      <c r="F2">
        <v>12.4</v>
      </c>
      <c r="G2">
        <v>35</v>
      </c>
      <c r="H2">
        <v>5.2</v>
      </c>
      <c r="I2">
        <v>5.5</v>
      </c>
      <c r="J2">
        <v>55</v>
      </c>
      <c r="K2">
        <v>12.3</v>
      </c>
      <c r="L2">
        <v>33</v>
      </c>
    </row>
    <row r="3" spans="1:12" x14ac:dyDescent="0.45">
      <c r="A3">
        <v>3</v>
      </c>
      <c r="B3" t="s">
        <v>50</v>
      </c>
      <c r="C3" t="s">
        <v>47</v>
      </c>
      <c r="D3">
        <v>8130</v>
      </c>
      <c r="E3">
        <v>261</v>
      </c>
      <c r="F3">
        <v>15.4</v>
      </c>
      <c r="G3">
        <v>33.6</v>
      </c>
      <c r="H3">
        <v>4.4000000000000004</v>
      </c>
      <c r="I3">
        <v>6.5</v>
      </c>
      <c r="J3">
        <v>55.3</v>
      </c>
      <c r="K3">
        <v>12.8</v>
      </c>
      <c r="L3">
        <v>95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31E0D-DE0E-4E8B-ABA6-D5336FAA042C}">
  <dimension ref="A4:D25"/>
  <sheetViews>
    <sheetView workbookViewId="0"/>
  </sheetViews>
  <sheetFormatPr defaultRowHeight="17" x14ac:dyDescent="0.45"/>
  <cols>
    <col min="1" max="1" width="20.58203125" bestFit="1" customWidth="1"/>
    <col min="2" max="2" width="16.08203125" bestFit="1" customWidth="1"/>
    <col min="3" max="3" width="15.25" bestFit="1" customWidth="1"/>
    <col min="4" max="4" width="17.33203125" bestFit="1" customWidth="1"/>
  </cols>
  <sheetData>
    <row r="4" spans="1:4" x14ac:dyDescent="0.45">
      <c r="A4" s="1" t="s">
        <v>43</v>
      </c>
      <c r="B4" s="1" t="s">
        <v>44</v>
      </c>
      <c r="C4" s="1" t="s">
        <v>45</v>
      </c>
      <c r="D4" t="s">
        <v>46</v>
      </c>
    </row>
    <row r="5" spans="1:4" x14ac:dyDescent="0.45">
      <c r="A5" t="s">
        <v>47</v>
      </c>
      <c r="C5" s="7"/>
      <c r="D5" s="7"/>
    </row>
    <row r="6" spans="1:4" x14ac:dyDescent="0.45">
      <c r="B6" t="s">
        <v>48</v>
      </c>
      <c r="C6" s="7">
        <v>21146</v>
      </c>
      <c r="D6" s="7">
        <v>124</v>
      </c>
    </row>
    <row r="7" spans="1:4" x14ac:dyDescent="0.45">
      <c r="B7" t="s">
        <v>49</v>
      </c>
      <c r="C7" s="7">
        <v>2258</v>
      </c>
      <c r="D7" s="7">
        <v>183.9</v>
      </c>
    </row>
    <row r="8" spans="1:4" x14ac:dyDescent="0.45">
      <c r="B8" t="s">
        <v>50</v>
      </c>
      <c r="C8" s="7">
        <v>4690</v>
      </c>
      <c r="D8" s="7">
        <v>243</v>
      </c>
    </row>
    <row r="9" spans="1:4" x14ac:dyDescent="0.45">
      <c r="B9" t="s">
        <v>51</v>
      </c>
      <c r="C9" s="7">
        <v>15887</v>
      </c>
      <c r="D9" s="7">
        <v>169.2</v>
      </c>
    </row>
    <row r="10" spans="1:4" x14ac:dyDescent="0.45">
      <c r="B10" t="s">
        <v>52</v>
      </c>
      <c r="C10" s="7">
        <v>114054</v>
      </c>
      <c r="D10" s="7">
        <v>225</v>
      </c>
    </row>
    <row r="11" spans="1:4" x14ac:dyDescent="0.45">
      <c r="B11" t="s">
        <v>53</v>
      </c>
      <c r="C11" s="7">
        <v>31080</v>
      </c>
      <c r="D11" s="7">
        <v>279.8</v>
      </c>
    </row>
    <row r="12" spans="1:4" x14ac:dyDescent="0.45">
      <c r="B12" t="s">
        <v>54</v>
      </c>
      <c r="C12" s="7">
        <v>21786</v>
      </c>
      <c r="D12" s="7">
        <v>189.4</v>
      </c>
    </row>
    <row r="13" spans="1:4" x14ac:dyDescent="0.45">
      <c r="A13" t="s">
        <v>55</v>
      </c>
      <c r="C13" s="7">
        <v>26948.875</v>
      </c>
      <c r="D13" s="7">
        <v>207.16249999999999</v>
      </c>
    </row>
    <row r="14" spans="1:4" x14ac:dyDescent="0.45">
      <c r="A14" t="s">
        <v>56</v>
      </c>
      <c r="C14" s="7"/>
      <c r="D14" s="7"/>
    </row>
    <row r="15" spans="1:4" x14ac:dyDescent="0.45">
      <c r="B15" t="s">
        <v>57</v>
      </c>
      <c r="C15" s="7">
        <v>14195</v>
      </c>
      <c r="D15" s="7">
        <v>313.7</v>
      </c>
    </row>
    <row r="16" spans="1:4" x14ac:dyDescent="0.45">
      <c r="B16" t="s">
        <v>58</v>
      </c>
      <c r="C16" s="7">
        <v>3168</v>
      </c>
      <c r="D16" s="7">
        <v>233.7</v>
      </c>
    </row>
    <row r="17" spans="1:4" x14ac:dyDescent="0.45">
      <c r="B17" t="s">
        <v>59</v>
      </c>
      <c r="C17" s="7">
        <v>37802</v>
      </c>
      <c r="D17" s="7">
        <v>153.9</v>
      </c>
    </row>
    <row r="18" spans="1:4" x14ac:dyDescent="0.45">
      <c r="B18" t="s">
        <v>60</v>
      </c>
      <c r="C18" s="7">
        <v>76947</v>
      </c>
      <c r="D18" s="7">
        <v>204.3</v>
      </c>
    </row>
    <row r="19" spans="1:4" x14ac:dyDescent="0.45">
      <c r="B19" t="s">
        <v>61</v>
      </c>
      <c r="C19" s="7">
        <v>5797</v>
      </c>
      <c r="D19" s="7">
        <v>258.7</v>
      </c>
    </row>
    <row r="20" spans="1:4" x14ac:dyDescent="0.45">
      <c r="B20" t="s">
        <v>62</v>
      </c>
      <c r="C20" s="7">
        <v>4829</v>
      </c>
      <c r="D20" s="7">
        <v>347.1</v>
      </c>
    </row>
    <row r="21" spans="1:4" x14ac:dyDescent="0.45">
      <c r="B21" t="s">
        <v>63</v>
      </c>
      <c r="C21" s="7">
        <v>9470</v>
      </c>
      <c r="D21" s="7">
        <v>156.69999999999999</v>
      </c>
    </row>
    <row r="22" spans="1:4" x14ac:dyDescent="0.45">
      <c r="B22" t="s">
        <v>64</v>
      </c>
      <c r="C22" s="7">
        <v>32931</v>
      </c>
      <c r="D22" s="7">
        <v>154.4</v>
      </c>
    </row>
    <row r="23" spans="1:4" x14ac:dyDescent="0.45">
      <c r="B23" t="s">
        <v>65</v>
      </c>
      <c r="C23" s="7">
        <v>21222</v>
      </c>
      <c r="D23" s="7">
        <v>351.3</v>
      </c>
    </row>
    <row r="24" spans="1:4" x14ac:dyDescent="0.45">
      <c r="A24" t="s">
        <v>66</v>
      </c>
      <c r="C24" s="7">
        <v>22929</v>
      </c>
      <c r="D24" s="7">
        <v>241.53333333333336</v>
      </c>
    </row>
    <row r="25" spans="1:4" x14ac:dyDescent="0.45">
      <c r="A25" t="s">
        <v>5</v>
      </c>
      <c r="C25" s="7">
        <v>24820.705882352941</v>
      </c>
      <c r="D25" s="7">
        <v>225.35882352941175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3월가공현황</vt:lpstr>
      <vt:lpstr>무작정따라하기</vt:lpstr>
      <vt:lpstr>기출01</vt:lpstr>
      <vt:lpstr>기출02</vt:lpstr>
      <vt:lpstr>시스템SW</vt:lpstr>
      <vt:lpstr>기출03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김용갑</cp:lastModifiedBy>
  <dcterms:created xsi:type="dcterms:W3CDTF">2023-05-11T10:31:28Z</dcterms:created>
  <dcterms:modified xsi:type="dcterms:W3CDTF">2024-02-21T06:32:28Z</dcterms:modified>
</cp:coreProperties>
</file>