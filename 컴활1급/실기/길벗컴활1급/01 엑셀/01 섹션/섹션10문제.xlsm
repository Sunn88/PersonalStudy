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1 엑셀\01 섹션\"/>
    </mc:Choice>
  </mc:AlternateContent>
  <xr:revisionPtr revIDLastSave="0" documentId="13_ncr:1_{7E6284E7-2EB5-4A12-B90A-FE5D3BC2B18B}" xr6:coauthVersionLast="47" xr6:coauthVersionMax="47" xr10:uidLastSave="{00000000-0000-0000-0000-000000000000}"/>
  <bookViews>
    <workbookView xWindow="-120" yWindow="-120" windowWidth="29040" windowHeight="15840" xr2:uid="{DD25000D-5962-403C-AB1C-F7F74FB25AD2}"/>
  </bookViews>
  <sheets>
    <sheet name="무작정따라하기" sheetId="1" r:id="rId1"/>
    <sheet name="기출01" sheetId="2" r:id="rId2"/>
    <sheet name="기출02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1" l="1"/>
  <c r="F3" i="1" s="1"/>
  <c r="G3" i="1" s="1"/>
  <c r="E4" i="1"/>
  <c r="F4" i="1" s="1"/>
  <c r="G4" i="1" s="1"/>
  <c r="H4" i="1" s="1"/>
  <c r="E5" i="1"/>
  <c r="F5" i="1" s="1"/>
  <c r="G5" i="1" s="1"/>
  <c r="E6" i="1"/>
  <c r="F6" i="1"/>
  <c r="G6" i="1" s="1"/>
  <c r="H6" i="1" s="1"/>
  <c r="E7" i="1"/>
  <c r="F7" i="1"/>
  <c r="G7" i="1" s="1"/>
  <c r="E8" i="1"/>
  <c r="F8" i="1"/>
  <c r="G8" i="1" s="1"/>
  <c r="H8" i="1" s="1"/>
  <c r="E9" i="1"/>
  <c r="F9" i="1"/>
  <c r="G9" i="1" s="1"/>
  <c r="E10" i="1"/>
  <c r="F10" i="1"/>
  <c r="G10" i="1" s="1"/>
  <c r="H10" i="1" s="1"/>
  <c r="E11" i="1"/>
  <c r="F11" i="1"/>
  <c r="G11" i="1" s="1"/>
  <c r="E12" i="1"/>
  <c r="F12" i="1"/>
  <c r="G12" i="1" s="1"/>
  <c r="E13" i="1"/>
  <c r="F13" i="1"/>
  <c r="G13" i="1" s="1"/>
  <c r="H12" i="1" l="1"/>
  <c r="H13" i="1"/>
  <c r="H11" i="1"/>
  <c r="H9" i="1"/>
  <c r="H7" i="1"/>
  <c r="H5" i="1"/>
  <c r="H3" i="1"/>
</calcChain>
</file>

<file path=xl/sharedStrings.xml><?xml version="1.0" encoding="utf-8"?>
<sst xmlns="http://schemas.openxmlformats.org/spreadsheetml/2006/main" count="79" uniqueCount="45">
  <si>
    <t>급여 분석 현황</t>
  </si>
  <si>
    <t>사원번호</t>
  </si>
  <si>
    <t>성명</t>
  </si>
  <si>
    <t>직위</t>
  </si>
  <si>
    <t>기본급</t>
  </si>
  <si>
    <t>상여금</t>
  </si>
  <si>
    <t>급여계</t>
  </si>
  <si>
    <t>공제계</t>
  </si>
  <si>
    <t>실수령액</t>
  </si>
  <si>
    <t>차진수</t>
  </si>
  <si>
    <t>과장</t>
  </si>
  <si>
    <t>마시리</t>
  </si>
  <si>
    <t>사원</t>
  </si>
  <si>
    <t>하수진</t>
  </si>
  <si>
    <t>오현명</t>
  </si>
  <si>
    <t>부장</t>
  </si>
  <si>
    <t>백지경</t>
  </si>
  <si>
    <t>정형수</t>
  </si>
  <si>
    <t>대리</t>
  </si>
  <si>
    <t>유현인</t>
  </si>
  <si>
    <t>이지형</t>
  </si>
  <si>
    <t>나진의</t>
  </si>
  <si>
    <t>진인진</t>
  </si>
  <si>
    <t>피현정</t>
  </si>
  <si>
    <t>배달일지</t>
  </si>
  <si>
    <t>일자</t>
  </si>
  <si>
    <t>배달담당</t>
  </si>
  <si>
    <t>배달지역</t>
  </si>
  <si>
    <t>배달시간(분)</t>
  </si>
  <si>
    <t>배달량</t>
  </si>
  <si>
    <t>비고</t>
  </si>
  <si>
    <t>도부영</t>
  </si>
  <si>
    <t>산북지구</t>
  </si>
  <si>
    <t>배무현</t>
  </si>
  <si>
    <t>산서지구</t>
  </si>
  <si>
    <t>장동욱</t>
  </si>
  <si>
    <t>산동지구</t>
  </si>
  <si>
    <t>배달누락</t>
  </si>
  <si>
    <t>산남지구</t>
  </si>
  <si>
    <t>동</t>
    <phoneticPr fontId="3" type="noConversion"/>
  </si>
  <si>
    <t>호</t>
    <phoneticPr fontId="3" type="noConversion"/>
  </si>
  <si>
    <t>면적</t>
    <phoneticPr fontId="3" type="noConversion"/>
  </si>
  <si>
    <t>도시가스비</t>
    <phoneticPr fontId="3" type="noConversion"/>
  </si>
  <si>
    <t>전기세</t>
    <phoneticPr fontId="3" type="noConversion"/>
  </si>
  <si>
    <t>수도세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</si>
</sst>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72FEE5-7D9F-446C-8533-EB8EE6208A5F}">
  <sheetPr codeName="Sheet1"/>
  <dimension ref="A1:H13"/>
  <sheetViews>
    <sheetView tabSelected="1" workbookViewId="0">
      <selection sqref="A1:H1"/>
    </sheetView>
  </sheetViews>
  <sheetFormatPr defaultRowHeight="16.5" x14ac:dyDescent="0.3"/>
  <cols>
    <col min="2" max="2" width="8.125" customWidth="1"/>
    <col min="3" max="3" width="5.25" bestFit="1" customWidth="1"/>
    <col min="4" max="5" width="10.875" bestFit="1" customWidth="1"/>
    <col min="6" max="6" width="11.875" bestFit="1" customWidth="1"/>
    <col min="7" max="7" width="10.875" bestFit="1" customWidth="1"/>
    <col min="8" max="8" width="11.875" bestFit="1" customWidth="1"/>
  </cols>
  <sheetData>
    <row r="1" spans="1:8" ht="20.25" x14ac:dyDescent="0.3">
      <c r="A1" s="5" t="s">
        <v>0</v>
      </c>
      <c r="B1" s="5"/>
      <c r="C1" s="5"/>
      <c r="D1" s="5"/>
      <c r="E1" s="5"/>
      <c r="F1" s="5"/>
      <c r="G1" s="5"/>
      <c r="H1" s="5"/>
    </row>
    <row r="2" spans="1:8" x14ac:dyDescent="0.3">
      <c r="A2" s="1" t="s">
        <v>1</v>
      </c>
      <c r="B2" s="1" t="s">
        <v>2</v>
      </c>
      <c r="C2" s="1" t="s">
        <v>3</v>
      </c>
      <c r="D2" s="1" t="s">
        <v>4</v>
      </c>
      <c r="E2" s="1" t="s">
        <v>5</v>
      </c>
      <c r="F2" s="1" t="s">
        <v>6</v>
      </c>
      <c r="G2" s="1" t="s">
        <v>7</v>
      </c>
      <c r="H2" s="1" t="s">
        <v>8</v>
      </c>
    </row>
    <row r="3" spans="1:8" x14ac:dyDescent="0.3">
      <c r="A3" s="1">
        <v>12011</v>
      </c>
      <c r="B3" s="1" t="s">
        <v>9</v>
      </c>
      <c r="C3" s="1" t="s">
        <v>10</v>
      </c>
      <c r="D3" s="2">
        <v>1860000</v>
      </c>
      <c r="E3" s="2">
        <f t="shared" ref="E3:E13" si="0">D3*80%</f>
        <v>1488000</v>
      </c>
      <c r="F3" s="2">
        <f t="shared" ref="F3:F13" si="1">D3+E3</f>
        <v>3348000</v>
      </c>
      <c r="G3" s="2">
        <f t="shared" ref="G3:G13" si="2">F3*12%</f>
        <v>401760</v>
      </c>
      <c r="H3" s="2">
        <f t="shared" ref="H3:H13" si="3">F3-G3</f>
        <v>2946240</v>
      </c>
    </row>
    <row r="4" spans="1:8" x14ac:dyDescent="0.3">
      <c r="A4" s="1">
        <v>12016</v>
      </c>
      <c r="B4" s="1" t="s">
        <v>11</v>
      </c>
      <c r="C4" s="1" t="s">
        <v>12</v>
      </c>
      <c r="D4" s="2">
        <v>850000</v>
      </c>
      <c r="E4" s="2">
        <f t="shared" si="0"/>
        <v>680000</v>
      </c>
      <c r="F4" s="2">
        <f t="shared" si="1"/>
        <v>1530000</v>
      </c>
      <c r="G4" s="2">
        <f t="shared" si="2"/>
        <v>183600</v>
      </c>
      <c r="H4" s="2">
        <f t="shared" si="3"/>
        <v>1346400</v>
      </c>
    </row>
    <row r="5" spans="1:8" x14ac:dyDescent="0.3">
      <c r="A5" s="1">
        <v>12017</v>
      </c>
      <c r="B5" s="1" t="s">
        <v>13</v>
      </c>
      <c r="C5" s="1" t="s">
        <v>10</v>
      </c>
      <c r="D5" s="2">
        <v>1700000</v>
      </c>
      <c r="E5" s="2">
        <f t="shared" si="0"/>
        <v>1360000</v>
      </c>
      <c r="F5" s="2">
        <f t="shared" si="1"/>
        <v>3060000</v>
      </c>
      <c r="G5" s="2">
        <f t="shared" si="2"/>
        <v>367200</v>
      </c>
      <c r="H5" s="2">
        <f t="shared" si="3"/>
        <v>2692800</v>
      </c>
    </row>
    <row r="6" spans="1:8" x14ac:dyDescent="0.3">
      <c r="A6" s="1">
        <v>12022</v>
      </c>
      <c r="B6" s="1" t="s">
        <v>14</v>
      </c>
      <c r="C6" s="1" t="s">
        <v>15</v>
      </c>
      <c r="D6" s="2">
        <v>2350000</v>
      </c>
      <c r="E6" s="2">
        <f t="shared" si="0"/>
        <v>1880000</v>
      </c>
      <c r="F6" s="2">
        <f t="shared" si="1"/>
        <v>4230000</v>
      </c>
      <c r="G6" s="2">
        <f t="shared" si="2"/>
        <v>507600</v>
      </c>
      <c r="H6" s="2">
        <f t="shared" si="3"/>
        <v>3722400</v>
      </c>
    </row>
    <row r="7" spans="1:8" x14ac:dyDescent="0.3">
      <c r="A7" s="1">
        <v>12023</v>
      </c>
      <c r="B7" s="1" t="s">
        <v>16</v>
      </c>
      <c r="C7" s="1" t="s">
        <v>12</v>
      </c>
      <c r="D7" s="2">
        <v>900000</v>
      </c>
      <c r="E7" s="2">
        <f t="shared" si="0"/>
        <v>720000</v>
      </c>
      <c r="F7" s="2">
        <f t="shared" si="1"/>
        <v>1620000</v>
      </c>
      <c r="G7" s="2">
        <f t="shared" si="2"/>
        <v>194400</v>
      </c>
      <c r="H7" s="2">
        <f t="shared" si="3"/>
        <v>1425600</v>
      </c>
    </row>
    <row r="8" spans="1:8" x14ac:dyDescent="0.3">
      <c r="A8" s="1">
        <v>12024</v>
      </c>
      <c r="B8" s="1" t="s">
        <v>17</v>
      </c>
      <c r="C8" s="1" t="s">
        <v>18</v>
      </c>
      <c r="D8" s="2">
        <v>1350000</v>
      </c>
      <c r="E8" s="2">
        <f t="shared" si="0"/>
        <v>1080000</v>
      </c>
      <c r="F8" s="2">
        <f t="shared" si="1"/>
        <v>2430000</v>
      </c>
      <c r="G8" s="2">
        <f t="shared" si="2"/>
        <v>291600</v>
      </c>
      <c r="H8" s="2">
        <f t="shared" si="3"/>
        <v>2138400</v>
      </c>
    </row>
    <row r="9" spans="1:8" x14ac:dyDescent="0.3">
      <c r="A9" s="1">
        <v>12027</v>
      </c>
      <c r="B9" s="1" t="s">
        <v>19</v>
      </c>
      <c r="C9" s="1" t="s">
        <v>12</v>
      </c>
      <c r="D9" s="2">
        <v>9500000</v>
      </c>
      <c r="E9" s="2">
        <f t="shared" si="0"/>
        <v>7600000</v>
      </c>
      <c r="F9" s="2">
        <f t="shared" si="1"/>
        <v>17100000</v>
      </c>
      <c r="G9" s="2">
        <f t="shared" si="2"/>
        <v>2052000</v>
      </c>
      <c r="H9" s="2">
        <f t="shared" si="3"/>
        <v>15048000</v>
      </c>
    </row>
    <row r="10" spans="1:8" x14ac:dyDescent="0.3">
      <c r="A10" s="1">
        <v>12031</v>
      </c>
      <c r="B10" s="1" t="s">
        <v>20</v>
      </c>
      <c r="C10" s="1" t="s">
        <v>15</v>
      </c>
      <c r="D10" s="2">
        <v>2500000</v>
      </c>
      <c r="E10" s="2">
        <f t="shared" si="0"/>
        <v>2000000</v>
      </c>
      <c r="F10" s="2">
        <f t="shared" si="1"/>
        <v>4500000</v>
      </c>
      <c r="G10" s="2">
        <f t="shared" si="2"/>
        <v>540000</v>
      </c>
      <c r="H10" s="2">
        <f t="shared" si="3"/>
        <v>3960000</v>
      </c>
    </row>
    <row r="11" spans="1:8" x14ac:dyDescent="0.3">
      <c r="A11" s="1">
        <v>12036</v>
      </c>
      <c r="B11" s="1" t="s">
        <v>21</v>
      </c>
      <c r="C11" s="1" t="s">
        <v>18</v>
      </c>
      <c r="D11" s="2">
        <v>1200000</v>
      </c>
      <c r="E11" s="2">
        <f t="shared" si="0"/>
        <v>960000</v>
      </c>
      <c r="F11" s="2">
        <f t="shared" si="1"/>
        <v>2160000</v>
      </c>
      <c r="G11" s="2">
        <f t="shared" si="2"/>
        <v>259200</v>
      </c>
      <c r="H11" s="2">
        <f t="shared" si="3"/>
        <v>1900800</v>
      </c>
    </row>
    <row r="12" spans="1:8" x14ac:dyDescent="0.3">
      <c r="A12" s="1">
        <v>12037</v>
      </c>
      <c r="B12" s="1" t="s">
        <v>22</v>
      </c>
      <c r="C12" s="1" t="s">
        <v>18</v>
      </c>
      <c r="D12" s="2">
        <v>1200000</v>
      </c>
      <c r="E12" s="2">
        <f t="shared" si="0"/>
        <v>960000</v>
      </c>
      <c r="F12" s="2">
        <f t="shared" si="1"/>
        <v>2160000</v>
      </c>
      <c r="G12" s="2">
        <f t="shared" si="2"/>
        <v>259200</v>
      </c>
      <c r="H12" s="2">
        <f t="shared" si="3"/>
        <v>1900800</v>
      </c>
    </row>
    <row r="13" spans="1:8" x14ac:dyDescent="0.3">
      <c r="A13" s="1">
        <v>12038</v>
      </c>
      <c r="B13" s="1" t="s">
        <v>23</v>
      </c>
      <c r="C13" s="1" t="s">
        <v>12</v>
      </c>
      <c r="D13" s="2">
        <v>1000000</v>
      </c>
      <c r="E13" s="2">
        <f t="shared" si="0"/>
        <v>800000</v>
      </c>
      <c r="F13" s="2">
        <f t="shared" si="1"/>
        <v>1800000</v>
      </c>
      <c r="G13" s="2">
        <f t="shared" si="2"/>
        <v>216000</v>
      </c>
      <c r="H13" s="2">
        <f t="shared" si="3"/>
        <v>1584000</v>
      </c>
    </row>
  </sheetData>
  <mergeCells count="1">
    <mergeCell ref="A1:H1"/>
  </mergeCell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B298B8-A6EF-4DD9-B9D7-F0E7E107C756}">
  <sheetPr codeName="Sheet2"/>
  <dimension ref="A1:F19"/>
  <sheetViews>
    <sheetView workbookViewId="0"/>
  </sheetViews>
  <sheetFormatPr defaultRowHeight="16.5" x14ac:dyDescent="0.3"/>
  <cols>
    <col min="1" max="1" width="12.375" customWidth="1"/>
    <col min="3" max="3" width="9.5" customWidth="1"/>
    <col min="4" max="4" width="12.375" bestFit="1" customWidth="1"/>
    <col min="5" max="5" width="7.125" bestFit="1" customWidth="1"/>
  </cols>
  <sheetData>
    <row r="1" spans="1:6" x14ac:dyDescent="0.3">
      <c r="A1" t="s">
        <v>24</v>
      </c>
    </row>
    <row r="2" spans="1:6" x14ac:dyDescent="0.3">
      <c r="A2" s="3" t="s">
        <v>25</v>
      </c>
      <c r="B2" s="3" t="s">
        <v>26</v>
      </c>
      <c r="C2" s="3" t="s">
        <v>27</v>
      </c>
      <c r="D2" s="3" t="s">
        <v>28</v>
      </c>
      <c r="E2" s="3" t="s">
        <v>29</v>
      </c>
      <c r="F2" s="3" t="s">
        <v>30</v>
      </c>
    </row>
    <row r="3" spans="1:6" x14ac:dyDescent="0.3">
      <c r="A3" s="4">
        <v>44938</v>
      </c>
      <c r="B3" s="3" t="s">
        <v>31</v>
      </c>
      <c r="C3" s="3" t="s">
        <v>32</v>
      </c>
      <c r="D3" s="3">
        <v>37</v>
      </c>
      <c r="E3" s="3">
        <v>331</v>
      </c>
      <c r="F3" s="3"/>
    </row>
    <row r="4" spans="1:6" x14ac:dyDescent="0.3">
      <c r="A4" s="4">
        <v>44938</v>
      </c>
      <c r="B4" s="3" t="s">
        <v>33</v>
      </c>
      <c r="C4" s="3" t="s">
        <v>34</v>
      </c>
      <c r="D4" s="3">
        <v>70</v>
      </c>
      <c r="E4" s="3">
        <v>433</v>
      </c>
      <c r="F4" s="3"/>
    </row>
    <row r="5" spans="1:6" x14ac:dyDescent="0.3">
      <c r="A5" s="4">
        <v>44938</v>
      </c>
      <c r="B5" s="3" t="s">
        <v>35</v>
      </c>
      <c r="C5" s="3" t="s">
        <v>36</v>
      </c>
      <c r="D5" s="3">
        <v>11</v>
      </c>
      <c r="E5" s="3">
        <v>362</v>
      </c>
      <c r="F5" s="3"/>
    </row>
    <row r="6" spans="1:6" x14ac:dyDescent="0.3">
      <c r="A6" s="4">
        <v>44938</v>
      </c>
      <c r="B6" s="3" t="s">
        <v>35</v>
      </c>
      <c r="C6" s="3" t="s">
        <v>36</v>
      </c>
      <c r="D6" s="3">
        <v>28</v>
      </c>
      <c r="E6" s="3">
        <v>2</v>
      </c>
      <c r="F6" s="3" t="s">
        <v>37</v>
      </c>
    </row>
    <row r="7" spans="1:6" x14ac:dyDescent="0.3">
      <c r="A7" s="4">
        <v>44939</v>
      </c>
      <c r="B7" s="3" t="s">
        <v>31</v>
      </c>
      <c r="C7" s="3" t="s">
        <v>34</v>
      </c>
      <c r="D7" s="3">
        <v>28</v>
      </c>
      <c r="E7" s="3">
        <v>62</v>
      </c>
      <c r="F7" s="3"/>
    </row>
    <row r="8" spans="1:6" x14ac:dyDescent="0.3">
      <c r="A8" s="4">
        <v>44939</v>
      </c>
      <c r="B8" s="3" t="s">
        <v>33</v>
      </c>
      <c r="C8" s="3" t="s">
        <v>36</v>
      </c>
      <c r="D8" s="3">
        <v>67</v>
      </c>
      <c r="E8" s="3">
        <v>76</v>
      </c>
      <c r="F8" s="3"/>
    </row>
    <row r="9" spans="1:6" x14ac:dyDescent="0.3">
      <c r="A9" s="4">
        <v>44939</v>
      </c>
      <c r="B9" s="3" t="s">
        <v>35</v>
      </c>
      <c r="C9" s="3" t="s">
        <v>38</v>
      </c>
      <c r="D9" s="3">
        <v>83</v>
      </c>
      <c r="E9" s="3">
        <v>471</v>
      </c>
      <c r="F9" s="3"/>
    </row>
    <row r="10" spans="1:6" x14ac:dyDescent="0.3">
      <c r="A10" s="4">
        <v>44939</v>
      </c>
      <c r="B10" s="3" t="s">
        <v>35</v>
      </c>
      <c r="C10" s="3" t="s">
        <v>32</v>
      </c>
      <c r="D10" s="3">
        <v>36</v>
      </c>
      <c r="E10" s="3">
        <v>750</v>
      </c>
      <c r="F10" s="3"/>
    </row>
    <row r="11" spans="1:6" x14ac:dyDescent="0.3">
      <c r="A11" s="4">
        <v>44940</v>
      </c>
      <c r="B11" s="3" t="s">
        <v>31</v>
      </c>
      <c r="C11" s="3" t="s">
        <v>34</v>
      </c>
      <c r="D11" s="3">
        <v>13</v>
      </c>
      <c r="E11" s="3">
        <v>914</v>
      </c>
      <c r="F11" s="3"/>
    </row>
    <row r="12" spans="1:6" x14ac:dyDescent="0.3">
      <c r="A12" s="4">
        <v>44940</v>
      </c>
      <c r="B12" s="3" t="s">
        <v>33</v>
      </c>
      <c r="C12" s="3" t="s">
        <v>38</v>
      </c>
      <c r="D12" s="3">
        <v>97</v>
      </c>
      <c r="E12" s="3">
        <v>790</v>
      </c>
      <c r="F12" s="3"/>
    </row>
    <row r="13" spans="1:6" x14ac:dyDescent="0.3">
      <c r="A13" s="4">
        <v>44940</v>
      </c>
      <c r="B13" s="3" t="s">
        <v>33</v>
      </c>
      <c r="C13" s="3" t="s">
        <v>32</v>
      </c>
      <c r="D13" s="3">
        <v>91</v>
      </c>
      <c r="E13" s="3">
        <v>356</v>
      </c>
      <c r="F13" s="3"/>
    </row>
    <row r="14" spans="1:6" x14ac:dyDescent="0.3">
      <c r="A14" s="4">
        <v>44940</v>
      </c>
      <c r="B14" s="3" t="s">
        <v>35</v>
      </c>
      <c r="C14" s="3" t="s">
        <v>34</v>
      </c>
      <c r="D14" s="3">
        <v>5</v>
      </c>
      <c r="E14" s="3">
        <v>336</v>
      </c>
      <c r="F14" s="3"/>
    </row>
    <row r="15" spans="1:6" x14ac:dyDescent="0.3">
      <c r="A15" s="4">
        <v>44941</v>
      </c>
      <c r="B15" s="3" t="s">
        <v>31</v>
      </c>
      <c r="C15" s="3" t="s">
        <v>38</v>
      </c>
      <c r="D15" s="3">
        <v>16</v>
      </c>
      <c r="E15" s="3">
        <v>322</v>
      </c>
      <c r="F15" s="3"/>
    </row>
    <row r="16" spans="1:6" x14ac:dyDescent="0.3">
      <c r="A16" s="4">
        <v>44942</v>
      </c>
      <c r="B16" s="3" t="s">
        <v>31</v>
      </c>
      <c r="C16" s="3" t="s">
        <v>34</v>
      </c>
      <c r="D16" s="3">
        <v>94</v>
      </c>
      <c r="E16" s="3">
        <v>177</v>
      </c>
      <c r="F16" s="3"/>
    </row>
    <row r="17" spans="1:6" x14ac:dyDescent="0.3">
      <c r="A17" s="4">
        <v>44942</v>
      </c>
      <c r="B17" s="3" t="s">
        <v>35</v>
      </c>
      <c r="C17" s="3" t="s">
        <v>38</v>
      </c>
      <c r="D17" s="3">
        <v>44</v>
      </c>
      <c r="E17" s="3">
        <v>65</v>
      </c>
      <c r="F17" s="3"/>
    </row>
    <row r="18" spans="1:6" x14ac:dyDescent="0.3">
      <c r="A18" s="4">
        <v>44942</v>
      </c>
      <c r="B18" s="3" t="s">
        <v>35</v>
      </c>
      <c r="C18" s="3" t="s">
        <v>32</v>
      </c>
      <c r="D18" s="3">
        <v>51</v>
      </c>
      <c r="E18" s="3">
        <v>908</v>
      </c>
      <c r="F18" s="3"/>
    </row>
    <row r="19" spans="1:6" x14ac:dyDescent="0.3">
      <c r="A19" s="4">
        <v>44943</v>
      </c>
      <c r="B19" s="3" t="s">
        <v>33</v>
      </c>
      <c r="C19" s="3" t="s">
        <v>36</v>
      </c>
      <c r="D19" s="3">
        <v>38</v>
      </c>
      <c r="E19" s="3">
        <v>874</v>
      </c>
      <c r="F19" s="3"/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B6CA29-AF1A-4A4E-9771-6CA25E6F5524}">
  <sheetPr codeName="Sheet3"/>
  <dimension ref="B2:G17"/>
  <sheetViews>
    <sheetView workbookViewId="0"/>
  </sheetViews>
  <sheetFormatPr defaultRowHeight="16.5" x14ac:dyDescent="0.3"/>
  <cols>
    <col min="1" max="1" width="3.125" customWidth="1"/>
    <col min="4" max="4" width="9.625" customWidth="1"/>
    <col min="5" max="5" width="12.25" customWidth="1"/>
    <col min="6" max="6" width="11.625" customWidth="1"/>
  </cols>
  <sheetData>
    <row r="2" spans="2:7" x14ac:dyDescent="0.3">
      <c r="B2" s="1" t="s">
        <v>39</v>
      </c>
      <c r="C2" s="1" t="s">
        <v>40</v>
      </c>
      <c r="D2" s="1" t="s">
        <v>41</v>
      </c>
      <c r="E2" s="1" t="s">
        <v>42</v>
      </c>
      <c r="F2" s="1" t="s">
        <v>43</v>
      </c>
      <c r="G2" s="1" t="s">
        <v>44</v>
      </c>
    </row>
    <row r="3" spans="2:7" x14ac:dyDescent="0.3">
      <c r="B3" s="1">
        <v>102</v>
      </c>
      <c r="C3" s="1">
        <v>102</v>
      </c>
      <c r="D3" s="1">
        <v>86</v>
      </c>
      <c r="E3" s="2">
        <v>25910</v>
      </c>
      <c r="F3" s="2">
        <v>18340</v>
      </c>
      <c r="G3" s="2">
        <v>25460</v>
      </c>
    </row>
    <row r="4" spans="2:7" x14ac:dyDescent="0.3">
      <c r="B4" s="1">
        <v>102</v>
      </c>
      <c r="C4" s="1">
        <v>701</v>
      </c>
      <c r="D4" s="1">
        <v>86</v>
      </c>
      <c r="E4" s="2">
        <v>49140</v>
      </c>
      <c r="F4" s="2">
        <v>14510</v>
      </c>
      <c r="G4" s="2">
        <v>22260</v>
      </c>
    </row>
    <row r="5" spans="2:7" x14ac:dyDescent="0.3">
      <c r="B5" s="1">
        <v>101</v>
      </c>
      <c r="C5" s="1">
        <v>501</v>
      </c>
      <c r="D5" s="1">
        <v>78</v>
      </c>
      <c r="E5" s="2">
        <v>35140</v>
      </c>
      <c r="F5" s="2">
        <v>77190</v>
      </c>
      <c r="G5" s="2">
        <v>23270</v>
      </c>
    </row>
    <row r="6" spans="2:7" x14ac:dyDescent="0.3">
      <c r="B6" s="1">
        <v>101</v>
      </c>
      <c r="C6" s="1">
        <v>301</v>
      </c>
      <c r="D6" s="1">
        <v>78</v>
      </c>
      <c r="E6" s="2">
        <v>54010</v>
      </c>
      <c r="F6" s="2">
        <v>54630</v>
      </c>
      <c r="G6" s="2">
        <v>28870</v>
      </c>
    </row>
    <row r="7" spans="2:7" x14ac:dyDescent="0.3">
      <c r="B7" s="1">
        <v>101</v>
      </c>
      <c r="C7" s="1">
        <v>102</v>
      </c>
      <c r="D7" s="1">
        <v>78</v>
      </c>
      <c r="E7" s="2">
        <v>15240</v>
      </c>
      <c r="F7" s="2">
        <v>13990</v>
      </c>
      <c r="G7" s="2">
        <v>12850</v>
      </c>
    </row>
    <row r="8" spans="2:7" x14ac:dyDescent="0.3">
      <c r="B8" s="1">
        <v>102</v>
      </c>
      <c r="C8" s="1">
        <v>402</v>
      </c>
      <c r="D8" s="1">
        <v>86</v>
      </c>
      <c r="E8" s="2">
        <v>40280</v>
      </c>
      <c r="F8" s="2">
        <v>62010</v>
      </c>
      <c r="G8" s="2">
        <v>24230</v>
      </c>
    </row>
    <row r="9" spans="2:7" x14ac:dyDescent="0.3">
      <c r="B9" s="1">
        <v>103</v>
      </c>
      <c r="C9" s="1">
        <v>402</v>
      </c>
      <c r="D9" s="1">
        <v>108</v>
      </c>
      <c r="E9" s="2">
        <v>88620</v>
      </c>
      <c r="F9" s="2">
        <v>43640</v>
      </c>
      <c r="G9" s="2">
        <v>21050</v>
      </c>
    </row>
    <row r="10" spans="2:7" x14ac:dyDescent="0.3">
      <c r="B10" s="1">
        <v>101</v>
      </c>
      <c r="C10" s="1">
        <v>202</v>
      </c>
      <c r="D10" s="1">
        <v>78</v>
      </c>
      <c r="E10" s="2">
        <v>20140</v>
      </c>
      <c r="F10" s="2">
        <v>43630</v>
      </c>
      <c r="G10" s="2">
        <v>11960</v>
      </c>
    </row>
    <row r="11" spans="2:7" x14ac:dyDescent="0.3">
      <c r="B11" s="1">
        <v>103</v>
      </c>
      <c r="C11" s="1">
        <v>201</v>
      </c>
      <c r="D11" s="1">
        <v>108</v>
      </c>
      <c r="E11" s="2">
        <v>125440</v>
      </c>
      <c r="F11" s="2">
        <v>14710</v>
      </c>
      <c r="G11" s="2">
        <v>29280</v>
      </c>
    </row>
    <row r="12" spans="2:7" x14ac:dyDescent="0.3">
      <c r="B12" s="1">
        <v>103</v>
      </c>
      <c r="C12" s="1">
        <v>501</v>
      </c>
      <c r="D12" s="1">
        <v>108</v>
      </c>
      <c r="E12" s="2">
        <v>243050</v>
      </c>
      <c r="F12" s="2">
        <v>7920</v>
      </c>
      <c r="G12" s="2">
        <v>25320</v>
      </c>
    </row>
    <row r="13" spans="2:7" x14ac:dyDescent="0.3">
      <c r="B13" s="1">
        <v>103</v>
      </c>
      <c r="C13" s="1">
        <v>701</v>
      </c>
      <c r="D13" s="1">
        <v>108</v>
      </c>
      <c r="E13" s="2">
        <v>103190</v>
      </c>
      <c r="F13" s="2">
        <v>21420</v>
      </c>
      <c r="G13" s="2">
        <v>21660</v>
      </c>
    </row>
    <row r="14" spans="2:7" x14ac:dyDescent="0.3">
      <c r="B14" s="1">
        <v>101</v>
      </c>
      <c r="C14" s="1">
        <v>101</v>
      </c>
      <c r="D14" s="1">
        <v>78</v>
      </c>
      <c r="E14" s="2">
        <v>23400</v>
      </c>
      <c r="F14" s="2">
        <v>69350</v>
      </c>
      <c r="G14" s="2">
        <v>18460</v>
      </c>
    </row>
    <row r="15" spans="2:7" x14ac:dyDescent="0.3">
      <c r="B15" s="1">
        <v>103</v>
      </c>
      <c r="C15" s="1">
        <v>102</v>
      </c>
      <c r="D15" s="1">
        <v>108</v>
      </c>
      <c r="E15" s="2">
        <v>49230</v>
      </c>
      <c r="F15" s="2">
        <v>56530</v>
      </c>
      <c r="G15" s="2">
        <v>5010</v>
      </c>
    </row>
    <row r="16" spans="2:7" x14ac:dyDescent="0.3">
      <c r="B16" s="1">
        <v>102</v>
      </c>
      <c r="C16" s="1">
        <v>201</v>
      </c>
      <c r="D16" s="1">
        <v>86</v>
      </c>
      <c r="E16" s="2">
        <v>73790</v>
      </c>
      <c r="F16" s="2">
        <v>22150</v>
      </c>
      <c r="G16" s="2">
        <v>10590</v>
      </c>
    </row>
    <row r="17" spans="2:7" x14ac:dyDescent="0.3">
      <c r="B17" s="1">
        <v>102</v>
      </c>
      <c r="C17" s="1">
        <v>501</v>
      </c>
      <c r="D17" s="1">
        <v>86</v>
      </c>
      <c r="E17" s="2">
        <v>135030</v>
      </c>
      <c r="F17" s="2">
        <v>62210</v>
      </c>
      <c r="G17" s="2">
        <v>25620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무작정따라하기</vt:lpstr>
      <vt:lpstr>기출01</vt:lpstr>
      <vt:lpstr>기출02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2023-05-11T10:29:47Z</dcterms:created>
  <dcterms:modified xsi:type="dcterms:W3CDTF">2023-09-19T05:26:34Z</dcterms:modified>
</cp:coreProperties>
</file>