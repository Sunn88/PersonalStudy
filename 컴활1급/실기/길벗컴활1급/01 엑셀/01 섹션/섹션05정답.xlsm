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5141CBD2-2947-4677-BC50-186043C940AD}" xr6:coauthVersionLast="47" xr6:coauthVersionMax="47" xr10:uidLastSave="{00000000-0000-0000-0000-000000000000}"/>
  <bookViews>
    <workbookView xWindow="28680" yWindow="-120" windowWidth="29040" windowHeight="17640" xr2:uid="{59E2C6D7-66CD-4A5B-88C4-C2254F642A96}"/>
  </bookViews>
  <sheets>
    <sheet name="무작정따라하기" sheetId="1" r:id="rId1"/>
    <sheet name="무작정따라하기2" sheetId="2" r:id="rId2"/>
    <sheet name="기출0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3" l="1"/>
  <c r="F23" i="3"/>
  <c r="F24" i="3"/>
  <c r="F25" i="3"/>
  <c r="F26" i="3"/>
  <c r="F27" i="3"/>
  <c r="F21" i="3"/>
  <c r="F12" i="3"/>
  <c r="F13" i="3"/>
  <c r="F14" i="3"/>
  <c r="F15" i="3"/>
  <c r="F16" i="3"/>
  <c r="F11" i="3"/>
  <c r="F4" i="3"/>
  <c r="F5" i="3"/>
  <c r="F6" i="3"/>
  <c r="F7" i="3"/>
  <c r="F3" i="3"/>
  <c r="B14" i="2" a="1"/>
  <c r="B14" i="2"/>
  <c r="B15" i="2" a="1"/>
  <c r="B15" i="2"/>
  <c r="B16" i="2" a="1"/>
  <c r="B16" i="2"/>
  <c r="B17" i="2" a="1"/>
  <c r="B17" i="2"/>
  <c r="B18" i="2" a="1"/>
  <c r="B18" i="2"/>
  <c r="B19" i="2" a="1"/>
  <c r="B19" i="2"/>
  <c r="B20" i="2" a="1"/>
  <c r="B20" i="2"/>
  <c r="B21" i="2" a="1"/>
  <c r="B21" i="2"/>
  <c r="B22" i="2" a="1"/>
  <c r="B22" i="2"/>
  <c r="B23" i="2" a="1"/>
  <c r="B23" i="2"/>
  <c r="B24" i="2" a="1"/>
  <c r="B24" i="2"/>
  <c r="B13" i="2" a="1"/>
  <c r="B13" i="2"/>
  <c r="F4" i="2"/>
  <c r="F5" i="2"/>
  <c r="F6" i="2"/>
  <c r="F7" i="2"/>
  <c r="F8" i="2"/>
  <c r="F9" i="2"/>
  <c r="F3" i="2"/>
  <c r="J4" i="1"/>
  <c r="J5" i="1"/>
  <c r="J6" i="1"/>
  <c r="J3" i="1"/>
  <c r="G11" i="1"/>
  <c r="G12" i="1"/>
  <c r="G13" i="1"/>
  <c r="G14" i="1"/>
  <c r="G15" i="1"/>
  <c r="G16" i="1"/>
  <c r="G10" i="1"/>
  <c r="G4" i="1"/>
  <c r="G5" i="1"/>
  <c r="G6" i="1"/>
  <c r="G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<sst xmlns="http://schemas.openxmlformats.org/spreadsheetml/2006/main" count="182" uniqueCount="131">
  <si>
    <t>[표1]</t>
  </si>
  <si>
    <t>대리점별 가전제품 판매현황</t>
  </si>
  <si>
    <t>단위:백대</t>
  </si>
  <si>
    <t>[표3]</t>
  </si>
  <si>
    <t>대리점</t>
  </si>
  <si>
    <t>PDP</t>
  </si>
  <si>
    <t>DVD</t>
  </si>
  <si>
    <t>디지털카메라</t>
  </si>
  <si>
    <t>MP3</t>
  </si>
  <si>
    <t>컴퓨터</t>
  </si>
  <si>
    <t>최다판매제품</t>
  </si>
  <si>
    <t>초과강의명</t>
  </si>
  <si>
    <t>강의기호</t>
  </si>
  <si>
    <t>종로지점</t>
  </si>
  <si>
    <t>asp(공개강의)_WEB</t>
  </si>
  <si>
    <t>동대문지점</t>
  </si>
  <si>
    <t>Jsp(재수강)_WEB</t>
  </si>
  <si>
    <t>서대문지점</t>
  </si>
  <si>
    <t>cgi(교양)_WEB</t>
  </si>
  <si>
    <t>남대문지점</t>
  </si>
  <si>
    <t>nsapi/isapi_ASP</t>
  </si>
  <si>
    <t>[표2]</t>
  </si>
  <si>
    <t>과정별 시험 등급</t>
  </si>
  <si>
    <t>과정구분</t>
  </si>
  <si>
    <t>시험형태</t>
  </si>
  <si>
    <t>시행년도</t>
  </si>
  <si>
    <t>서울</t>
  </si>
  <si>
    <t>부산</t>
  </si>
  <si>
    <t>광주</t>
  </si>
  <si>
    <t>등급</t>
  </si>
  <si>
    <t>엑셀중급</t>
  </si>
  <si>
    <t>필기</t>
  </si>
  <si>
    <t>실기</t>
  </si>
  <si>
    <t>엑셀초급</t>
  </si>
  <si>
    <t>워드초급</t>
  </si>
  <si>
    <t>&lt;등급기준표&gt;</t>
  </si>
  <si>
    <t>평균</t>
  </si>
  <si>
    <t>D</t>
  </si>
  <si>
    <t>C</t>
  </si>
  <si>
    <t>B</t>
  </si>
  <si>
    <t>A</t>
  </si>
  <si>
    <t>최종PS지급율</t>
  </si>
  <si>
    <t>소속</t>
  </si>
  <si>
    <t>목표</t>
  </si>
  <si>
    <t>실적</t>
  </si>
  <si>
    <t>직접경비</t>
  </si>
  <si>
    <t>간접경비</t>
  </si>
  <si>
    <t>[표3] PS지급율</t>
  </si>
  <si>
    <t>서울1팀</t>
  </si>
  <si>
    <t>달성율</t>
  </si>
  <si>
    <t>PS지급율</t>
  </si>
  <si>
    <t>서울2팀</t>
  </si>
  <si>
    <t>인천1팀</t>
  </si>
  <si>
    <t>인천2팀</t>
  </si>
  <si>
    <t>과천1팀</t>
  </si>
  <si>
    <t>과천2팀</t>
  </si>
  <si>
    <t>매장관리</t>
  </si>
  <si>
    <t>[표4] 조견표1</t>
  </si>
  <si>
    <t>매장번호</t>
  </si>
  <si>
    <t>매장구분</t>
  </si>
  <si>
    <t>매장명</t>
  </si>
  <si>
    <t>디자인번호</t>
  </si>
  <si>
    <t>수량</t>
  </si>
  <si>
    <t>구분코드</t>
  </si>
  <si>
    <t>갤러리아</t>
  </si>
  <si>
    <t>J009</t>
  </si>
  <si>
    <t>J014</t>
  </si>
  <si>
    <t>롯데잠실</t>
  </si>
  <si>
    <t>J003</t>
  </si>
  <si>
    <t>S003</t>
  </si>
  <si>
    <t>명동 신세계</t>
  </si>
  <si>
    <t>J007</t>
  </si>
  <si>
    <t>부산비자비</t>
  </si>
  <si>
    <t>J006</t>
  </si>
  <si>
    <t>[표5] 조견표2</t>
  </si>
  <si>
    <t>탐라</t>
  </si>
  <si>
    <t>백화점</t>
  </si>
  <si>
    <t>V007</t>
  </si>
  <si>
    <t>마트직영점</t>
  </si>
  <si>
    <t>J072</t>
  </si>
  <si>
    <t>쇼핑몰</t>
  </si>
  <si>
    <t>직원별 야근 수당</t>
  </si>
  <si>
    <t>[표4] 일별야근수당</t>
  </si>
  <si>
    <t>이름</t>
  </si>
  <si>
    <t>부서</t>
  </si>
  <si>
    <t>TOEIC</t>
  </si>
  <si>
    <t>JPT</t>
  </si>
  <si>
    <t>야근일수</t>
  </si>
  <si>
    <t>수당</t>
  </si>
  <si>
    <t>구분(야근일수)</t>
  </si>
  <si>
    <t>홍길동</t>
  </si>
  <si>
    <t>총무부</t>
  </si>
  <si>
    <t>정하영</t>
  </si>
  <si>
    <t>인사부</t>
  </si>
  <si>
    <t>이도현</t>
  </si>
  <si>
    <t>영업부</t>
  </si>
  <si>
    <t>정현석</t>
  </si>
  <si>
    <t>이지영</t>
  </si>
  <si>
    <t>제작방법에 따른 광고 수익 형태</t>
  </si>
  <si>
    <t>[표5] 광고시간(초)별 광고비용</t>
  </si>
  <si>
    <t>제작방법</t>
  </si>
  <si>
    <t>책임자</t>
  </si>
  <si>
    <t>광고시간(초)</t>
  </si>
  <si>
    <t>방영일수</t>
  </si>
  <si>
    <t>MH</t>
  </si>
  <si>
    <t>총 광고수익</t>
  </si>
  <si>
    <t>전사지원</t>
  </si>
  <si>
    <t>김정식</t>
  </si>
  <si>
    <t>광고비용</t>
  </si>
  <si>
    <t>외주용역</t>
  </si>
  <si>
    <t>외주협조</t>
  </si>
  <si>
    <t>박명수</t>
  </si>
  <si>
    <t>본부협조</t>
  </si>
  <si>
    <t>사원별 근속수당</t>
  </si>
  <si>
    <t>사원번호</t>
  </si>
  <si>
    <t>입사일</t>
  </si>
  <si>
    <t>직위</t>
  </si>
  <si>
    <t>근속수당</t>
  </si>
  <si>
    <t>TN-012</t>
  </si>
  <si>
    <t>K-P</t>
  </si>
  <si>
    <t>과장</t>
  </si>
  <si>
    <t>TN-011</t>
  </si>
  <si>
    <t>S-M</t>
  </si>
  <si>
    <t>TN-014</t>
  </si>
  <si>
    <t>K-E</t>
  </si>
  <si>
    <t>TN-015</t>
  </si>
  <si>
    <t>대리</t>
  </si>
  <si>
    <t>TN-021</t>
  </si>
  <si>
    <t>TN-019</t>
  </si>
  <si>
    <t>TN-004</t>
  </si>
  <si>
    <t>부장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</si>
</sst>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%\ &quot;이상&quot;"/>
    <numFmt numFmtId="177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41" fontId="0" fillId="0" borderId="1" xfId="1" applyFont="1" applyBorder="1" applyAlignment="1">
      <alignment vertical="center"/>
    </xf>
    <xf numFmtId="177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31" fontId="0" fillId="0" borderId="2" xfId="0" applyNumberFormat="1" applyBorder="1" applyAlignment="1">
      <alignment horizontal="center" vertical="center"/>
    </xf>
    <xf numFmtId="31" fontId="0" fillId="0" borderId="3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1285D-0062-49EC-9575-132F32DEA1DE}">
  <dimension ref="A1:J20"/>
  <sheetViews>
    <sheetView tabSelected="1" workbookViewId="0"/>
  </sheetViews>
  <sheetFormatPr defaultRowHeight="16.5" x14ac:dyDescent="0.3"/>
  <cols>
    <col min="1" max="1" width="10.625" customWidth="1"/>
    <col min="3" max="3" width="12" customWidth="1"/>
    <col min="4" max="4" width="13" bestFit="1" customWidth="1"/>
    <col min="5" max="6" width="8.25" customWidth="1"/>
    <col min="7" max="7" width="13" bestFit="1" customWidth="1"/>
    <col min="8" max="8" width="3.5" customWidth="1"/>
    <col min="9" max="9" width="18.625" bestFit="1" customWidth="1"/>
    <col min="10" max="10" width="14" customWidth="1"/>
  </cols>
  <sheetData>
    <row r="1" spans="1:10" x14ac:dyDescent="0.3">
      <c r="A1" t="s">
        <v>0</v>
      </c>
      <c r="B1" t="s">
        <v>1</v>
      </c>
      <c r="G1" t="s">
        <v>2</v>
      </c>
      <c r="I1" t="s">
        <v>3</v>
      </c>
    </row>
    <row r="2" spans="1:10" x14ac:dyDescent="0.3">
      <c r="A2" s="1" t="s">
        <v>4</v>
      </c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2" t="s">
        <v>10</v>
      </c>
      <c r="I2" s="1" t="s">
        <v>11</v>
      </c>
      <c r="J2" s="3" t="s">
        <v>12</v>
      </c>
    </row>
    <row r="3" spans="1:10" x14ac:dyDescent="0.3">
      <c r="A3" s="4" t="s">
        <v>13</v>
      </c>
      <c r="B3" s="5">
        <v>500</v>
      </c>
      <c r="C3" s="5">
        <v>1200</v>
      </c>
      <c r="D3" s="5">
        <v>1205</v>
      </c>
      <c r="E3" s="5">
        <v>35</v>
      </c>
      <c r="F3" s="5">
        <v>1340</v>
      </c>
      <c r="G3" s="4" t="str">
        <f>INDEX($B$2:$F$2,1,MATCH(MAX(B3:F3),B3:F3,0))</f>
        <v>컴퓨터</v>
      </c>
      <c r="I3" s="4" t="s">
        <v>14</v>
      </c>
      <c r="J3" s="4" t="str">
        <f>UPPER(LEFT(I3,LEN(I3)-4))</f>
        <v>ASP(공개강의)</v>
      </c>
    </row>
    <row r="4" spans="1:10" x14ac:dyDescent="0.3">
      <c r="A4" s="4" t="s">
        <v>15</v>
      </c>
      <c r="B4" s="5">
        <v>1300</v>
      </c>
      <c r="C4" s="5">
        <v>800</v>
      </c>
      <c r="D4" s="5">
        <v>680</v>
      </c>
      <c r="E4" s="5">
        <v>60</v>
      </c>
      <c r="F4" s="5">
        <v>1040</v>
      </c>
      <c r="G4" s="4" t="str">
        <f t="shared" ref="G4:G6" si="0">INDEX($B$2:$F$2,1,MATCH(MAX(B4:F4),B4:F4,0))</f>
        <v>PDP</v>
      </c>
      <c r="I4" s="4" t="s">
        <v>16</v>
      </c>
      <c r="J4" s="4" t="str">
        <f t="shared" ref="J4:J6" si="1">UPPER(LEFT(I4,LEN(I4)-4))</f>
        <v>JSP(재수강)</v>
      </c>
    </row>
    <row r="5" spans="1:10" x14ac:dyDescent="0.3">
      <c r="A5" s="4" t="s">
        <v>17</v>
      </c>
      <c r="B5" s="5">
        <v>700</v>
      </c>
      <c r="C5" s="5">
        <v>600</v>
      </c>
      <c r="D5" s="5">
        <v>600</v>
      </c>
      <c r="E5" s="5">
        <v>720</v>
      </c>
      <c r="F5" s="5">
        <v>540</v>
      </c>
      <c r="G5" s="4" t="str">
        <f t="shared" si="0"/>
        <v>MP3</v>
      </c>
      <c r="I5" s="4" t="s">
        <v>18</v>
      </c>
      <c r="J5" s="4" t="str">
        <f t="shared" si="1"/>
        <v>CGI(교양)</v>
      </c>
    </row>
    <row r="6" spans="1:10" x14ac:dyDescent="0.3">
      <c r="A6" s="4" t="s">
        <v>19</v>
      </c>
      <c r="B6" s="5">
        <v>560</v>
      </c>
      <c r="C6" s="5">
        <v>800</v>
      </c>
      <c r="D6" s="5">
        <v>930</v>
      </c>
      <c r="E6" s="5">
        <v>610</v>
      </c>
      <c r="F6" s="5">
        <v>625</v>
      </c>
      <c r="G6" s="4" t="str">
        <f t="shared" si="0"/>
        <v>디지털카메라</v>
      </c>
      <c r="I6" s="4" t="s">
        <v>20</v>
      </c>
      <c r="J6" s="4" t="str">
        <f t="shared" si="1"/>
        <v>NSAPI/ISAPI</v>
      </c>
    </row>
    <row r="8" spans="1:10" x14ac:dyDescent="0.3">
      <c r="A8" t="s">
        <v>21</v>
      </c>
      <c r="B8" t="s">
        <v>22</v>
      </c>
    </row>
    <row r="9" spans="1:10" x14ac:dyDescent="0.3">
      <c r="A9" s="6" t="s">
        <v>23</v>
      </c>
      <c r="B9" s="6" t="s">
        <v>24</v>
      </c>
      <c r="C9" s="6" t="s">
        <v>25</v>
      </c>
      <c r="D9" s="6" t="s">
        <v>26</v>
      </c>
      <c r="E9" s="6" t="s">
        <v>27</v>
      </c>
      <c r="F9" s="6" t="s">
        <v>28</v>
      </c>
      <c r="G9" s="3" t="s">
        <v>29</v>
      </c>
    </row>
    <row r="10" spans="1:10" x14ac:dyDescent="0.3">
      <c r="A10" s="1" t="s">
        <v>30</v>
      </c>
      <c r="B10" s="1" t="s">
        <v>31</v>
      </c>
      <c r="C10" s="7">
        <v>43112</v>
      </c>
      <c r="D10" s="1">
        <v>95</v>
      </c>
      <c r="E10" s="1">
        <v>94</v>
      </c>
      <c r="F10" s="1">
        <v>85</v>
      </c>
      <c r="G10" s="1" t="str">
        <f>HLOOKUP(AVERAGE(D10:F10),$B$19:$E$20,2) &amp; "등급"</f>
        <v>A등급</v>
      </c>
      <c r="I10" s="15"/>
    </row>
    <row r="11" spans="1:10" x14ac:dyDescent="0.3">
      <c r="A11" s="1" t="s">
        <v>30</v>
      </c>
      <c r="B11" s="1" t="s">
        <v>32</v>
      </c>
      <c r="C11" s="7">
        <v>43136</v>
      </c>
      <c r="D11" s="1">
        <v>88</v>
      </c>
      <c r="E11" s="1">
        <v>84</v>
      </c>
      <c r="F11" s="1">
        <v>88</v>
      </c>
      <c r="G11" s="1" t="str">
        <f t="shared" ref="G11:G16" si="2">HLOOKUP(AVERAGE(D11:F11),$B$19:$E$20,2) &amp; "등급"</f>
        <v>B등급</v>
      </c>
      <c r="I11" s="15"/>
    </row>
    <row r="12" spans="1:10" x14ac:dyDescent="0.3">
      <c r="A12" s="1" t="s">
        <v>30</v>
      </c>
      <c r="B12" s="1" t="s">
        <v>32</v>
      </c>
      <c r="C12" s="7">
        <v>44682</v>
      </c>
      <c r="D12" s="1">
        <v>80</v>
      </c>
      <c r="E12" s="1">
        <v>60</v>
      </c>
      <c r="F12" s="1">
        <v>85</v>
      </c>
      <c r="G12" s="1" t="str">
        <f t="shared" si="2"/>
        <v>C등급</v>
      </c>
      <c r="I12" s="15"/>
    </row>
    <row r="13" spans="1:10" x14ac:dyDescent="0.3">
      <c r="A13" s="1" t="s">
        <v>33</v>
      </c>
      <c r="B13" s="1" t="s">
        <v>31</v>
      </c>
      <c r="C13" s="7">
        <v>44562</v>
      </c>
      <c r="D13" s="1">
        <v>90</v>
      </c>
      <c r="E13" s="1">
        <v>95</v>
      </c>
      <c r="F13" s="1">
        <v>80</v>
      </c>
      <c r="G13" s="1" t="str">
        <f t="shared" si="2"/>
        <v>B등급</v>
      </c>
      <c r="I13" s="15"/>
    </row>
    <row r="14" spans="1:10" x14ac:dyDescent="0.3">
      <c r="A14" s="1" t="s">
        <v>33</v>
      </c>
      <c r="B14" s="1" t="s">
        <v>32</v>
      </c>
      <c r="C14" s="7">
        <v>44941</v>
      </c>
      <c r="D14" s="1">
        <v>75</v>
      </c>
      <c r="E14" s="1">
        <v>72</v>
      </c>
      <c r="F14" s="1">
        <v>81</v>
      </c>
      <c r="G14" s="1" t="str">
        <f t="shared" si="2"/>
        <v>C등급</v>
      </c>
      <c r="I14" s="15"/>
    </row>
    <row r="15" spans="1:10" x14ac:dyDescent="0.3">
      <c r="A15" s="1" t="s">
        <v>33</v>
      </c>
      <c r="B15" s="1" t="s">
        <v>32</v>
      </c>
      <c r="C15" s="7">
        <v>44927</v>
      </c>
      <c r="D15" s="1">
        <v>90</v>
      </c>
      <c r="E15" s="1">
        <v>91</v>
      </c>
      <c r="F15" s="1">
        <v>83</v>
      </c>
      <c r="G15" s="1" t="str">
        <f t="shared" si="2"/>
        <v>B등급</v>
      </c>
      <c r="I15" s="15"/>
    </row>
    <row r="16" spans="1:10" x14ac:dyDescent="0.3">
      <c r="A16" s="1" t="s">
        <v>34</v>
      </c>
      <c r="B16" s="1" t="s">
        <v>31</v>
      </c>
      <c r="C16" s="7">
        <v>44974</v>
      </c>
      <c r="D16" s="1">
        <v>90</v>
      </c>
      <c r="E16" s="1">
        <v>91</v>
      </c>
      <c r="F16" s="1">
        <v>92</v>
      </c>
      <c r="G16" s="1" t="str">
        <f t="shared" si="2"/>
        <v>A등급</v>
      </c>
      <c r="I16" s="15"/>
    </row>
    <row r="18" spans="1:5" x14ac:dyDescent="0.3">
      <c r="A18" t="s">
        <v>35</v>
      </c>
    </row>
    <row r="19" spans="1:5" x14ac:dyDescent="0.3">
      <c r="A19" s="1" t="s">
        <v>36</v>
      </c>
      <c r="B19" s="1">
        <v>60</v>
      </c>
      <c r="C19" s="1">
        <v>70</v>
      </c>
      <c r="D19" s="1">
        <v>80</v>
      </c>
      <c r="E19" s="1">
        <v>90</v>
      </c>
    </row>
    <row r="20" spans="1:5" x14ac:dyDescent="0.3">
      <c r="A20" s="1" t="s">
        <v>29</v>
      </c>
      <c r="B20" s="1" t="s">
        <v>37</v>
      </c>
      <c r="C20" s="1" t="s">
        <v>38</v>
      </c>
      <c r="D20" s="1" t="s">
        <v>39</v>
      </c>
      <c r="E20" s="1" t="s">
        <v>40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5A6D9-62EB-41CD-AD47-6C220DCFF0BD}">
  <dimension ref="A1:I24"/>
  <sheetViews>
    <sheetView workbookViewId="0"/>
  </sheetViews>
  <sheetFormatPr defaultRowHeight="16.5" x14ac:dyDescent="0.3"/>
  <cols>
    <col min="2" max="2" width="13.5" bestFit="1" customWidth="1"/>
    <col min="3" max="3" width="13" bestFit="1" customWidth="1"/>
    <col min="4" max="4" width="11.125" bestFit="1" customWidth="1"/>
    <col min="5" max="5" width="10.875" bestFit="1" customWidth="1"/>
    <col min="6" max="6" width="13.375" bestFit="1" customWidth="1"/>
    <col min="7" max="7" width="2" customWidth="1"/>
    <col min="8" max="8" width="10.5" bestFit="1" customWidth="1"/>
    <col min="9" max="9" width="11" bestFit="1" customWidth="1"/>
  </cols>
  <sheetData>
    <row r="1" spans="1:9" x14ac:dyDescent="0.3">
      <c r="A1" s="8" t="s">
        <v>0</v>
      </c>
      <c r="B1" s="8" t="s">
        <v>41</v>
      </c>
      <c r="C1" s="8"/>
      <c r="D1" s="8"/>
      <c r="E1" s="8"/>
      <c r="F1" s="8"/>
    </row>
    <row r="2" spans="1:9" x14ac:dyDescent="0.3">
      <c r="A2" s="6" t="s">
        <v>42</v>
      </c>
      <c r="B2" s="6" t="s">
        <v>43</v>
      </c>
      <c r="C2" s="6" t="s">
        <v>44</v>
      </c>
      <c r="D2" s="6" t="s">
        <v>45</v>
      </c>
      <c r="E2" s="6" t="s">
        <v>46</v>
      </c>
      <c r="F2" s="3" t="s">
        <v>41</v>
      </c>
      <c r="H2" t="s">
        <v>47</v>
      </c>
    </row>
    <row r="3" spans="1:9" x14ac:dyDescent="0.3">
      <c r="A3" s="1" t="s">
        <v>48</v>
      </c>
      <c r="B3" s="9">
        <v>100000000</v>
      </c>
      <c r="C3" s="9">
        <v>110000000</v>
      </c>
      <c r="D3" s="9">
        <v>1200000</v>
      </c>
      <c r="E3" s="9">
        <v>540000</v>
      </c>
      <c r="F3" s="10">
        <f>IF(AND(C3/B3&gt;=110%,E3/D3&gt;=50%),VLOOKUP(C3/B3,$H$4:$I$7,2)+5%,VLOOKUP(C3/B3,$H$4:$I$7,2))</f>
        <v>0.3</v>
      </c>
      <c r="H3" s="6" t="s">
        <v>49</v>
      </c>
      <c r="I3" s="6" t="s">
        <v>50</v>
      </c>
    </row>
    <row r="4" spans="1:9" x14ac:dyDescent="0.3">
      <c r="A4" s="1" t="s">
        <v>51</v>
      </c>
      <c r="B4" s="9">
        <v>140000000</v>
      </c>
      <c r="C4" s="9">
        <v>130000000</v>
      </c>
      <c r="D4" s="9">
        <v>2800000</v>
      </c>
      <c r="E4" s="9">
        <v>920000</v>
      </c>
      <c r="F4" s="10">
        <f t="shared" ref="F4:F9" si="0">IF(AND(C4/B4&gt;=110%,E4/D4&gt;=50%),VLOOKUP(C4/B4,$H$4:$I$7,2)+5%,VLOOKUP(C4/B4,$H$4:$I$7,2))</f>
        <v>0</v>
      </c>
      <c r="H4" s="11">
        <v>0</v>
      </c>
      <c r="I4" s="10">
        <v>0</v>
      </c>
    </row>
    <row r="5" spans="1:9" x14ac:dyDescent="0.3">
      <c r="A5" s="1" t="s">
        <v>52</v>
      </c>
      <c r="B5" s="9">
        <v>130000000</v>
      </c>
      <c r="C5" s="9">
        <v>130000000</v>
      </c>
      <c r="D5" s="9">
        <v>5020000</v>
      </c>
      <c r="E5" s="9">
        <v>1200000</v>
      </c>
      <c r="F5" s="10">
        <f t="shared" si="0"/>
        <v>0</v>
      </c>
      <c r="H5" s="11">
        <v>1.1000000000000001</v>
      </c>
      <c r="I5" s="10">
        <v>0.3</v>
      </c>
    </row>
    <row r="6" spans="1:9" x14ac:dyDescent="0.3">
      <c r="A6" s="1" t="s">
        <v>53</v>
      </c>
      <c r="B6" s="9">
        <v>140000000</v>
      </c>
      <c r="C6" s="9">
        <v>150000000</v>
      </c>
      <c r="D6" s="9">
        <v>7000000</v>
      </c>
      <c r="E6" s="9">
        <v>2300000</v>
      </c>
      <c r="F6" s="10">
        <f t="shared" si="0"/>
        <v>0</v>
      </c>
      <c r="H6" s="11">
        <v>1.3</v>
      </c>
      <c r="I6" s="10">
        <v>0.5</v>
      </c>
    </row>
    <row r="7" spans="1:9" x14ac:dyDescent="0.3">
      <c r="A7" s="1" t="s">
        <v>54</v>
      </c>
      <c r="B7" s="9">
        <v>100000000</v>
      </c>
      <c r="C7" s="9">
        <v>150000000</v>
      </c>
      <c r="D7" s="9">
        <v>2000000</v>
      </c>
      <c r="E7" s="9">
        <v>1000000</v>
      </c>
      <c r="F7" s="10">
        <f t="shared" si="0"/>
        <v>1.05</v>
      </c>
      <c r="H7" s="11">
        <v>1.5</v>
      </c>
      <c r="I7" s="10">
        <v>1</v>
      </c>
    </row>
    <row r="8" spans="1:9" x14ac:dyDescent="0.3">
      <c r="A8" s="1" t="s">
        <v>55</v>
      </c>
      <c r="B8" s="9">
        <v>90000000</v>
      </c>
      <c r="C8" s="9">
        <v>110000000</v>
      </c>
      <c r="D8" s="9">
        <v>4125000</v>
      </c>
      <c r="E8" s="9">
        <v>2000000</v>
      </c>
      <c r="F8" s="10">
        <f t="shared" si="0"/>
        <v>0.3</v>
      </c>
    </row>
    <row r="9" spans="1:9" x14ac:dyDescent="0.3">
      <c r="A9" s="1" t="s">
        <v>55</v>
      </c>
      <c r="B9" s="9">
        <v>110000000</v>
      </c>
      <c r="C9" s="9">
        <v>120000000</v>
      </c>
      <c r="D9" s="9">
        <v>4897000</v>
      </c>
      <c r="E9" s="9">
        <v>1300000</v>
      </c>
      <c r="F9" s="10">
        <f t="shared" si="0"/>
        <v>0</v>
      </c>
    </row>
    <row r="11" spans="1:9" x14ac:dyDescent="0.3">
      <c r="A11" t="s">
        <v>21</v>
      </c>
      <c r="B11" t="s">
        <v>56</v>
      </c>
      <c r="H11" t="s">
        <v>57</v>
      </c>
    </row>
    <row r="12" spans="1:9" x14ac:dyDescent="0.3">
      <c r="A12" s="1" t="s">
        <v>58</v>
      </c>
      <c r="B12" s="2" t="s">
        <v>59</v>
      </c>
      <c r="C12" s="1" t="s">
        <v>60</v>
      </c>
      <c r="D12" s="1" t="s">
        <v>61</v>
      </c>
      <c r="E12" s="1" t="s">
        <v>62</v>
      </c>
      <c r="H12" s="1" t="s">
        <v>58</v>
      </c>
      <c r="I12" s="1" t="s">
        <v>63</v>
      </c>
    </row>
    <row r="13" spans="1:9" x14ac:dyDescent="0.3">
      <c r="A13" s="1">
        <v>302025</v>
      </c>
      <c r="B13" s="4" t="str" cm="1">
        <f t="array" ref="B13">INDEX($H$21:$I$24,VLOOKUP(A13,$H$13:$I$17,2,FALSE),2)</f>
        <v>대리점</v>
      </c>
      <c r="C13" s="4" t="s">
        <v>64</v>
      </c>
      <c r="D13" s="1" t="s">
        <v>65</v>
      </c>
      <c r="E13" s="1">
        <v>1</v>
      </c>
      <c r="H13" s="1">
        <v>101004</v>
      </c>
      <c r="I13" s="1">
        <v>1</v>
      </c>
    </row>
    <row r="14" spans="1:9" x14ac:dyDescent="0.3">
      <c r="A14" s="1">
        <v>302025</v>
      </c>
      <c r="B14" s="4" t="str" cm="1">
        <f t="array" ref="B14">INDEX($H$21:$I$24,VLOOKUP(A14,$H$13:$I$17,2,FALSE),2)</f>
        <v>대리점</v>
      </c>
      <c r="C14" s="4" t="s">
        <v>64</v>
      </c>
      <c r="D14" s="1" t="s">
        <v>66</v>
      </c>
      <c r="E14" s="1">
        <v>1</v>
      </c>
      <c r="H14" s="1">
        <v>103801</v>
      </c>
      <c r="I14" s="1">
        <v>2</v>
      </c>
    </row>
    <row r="15" spans="1:9" x14ac:dyDescent="0.3">
      <c r="A15" s="1">
        <v>302021</v>
      </c>
      <c r="B15" s="4" t="str" cm="1">
        <f t="array" ref="B15">INDEX($H$21:$I$24,VLOOKUP(A15,$H$13:$I$17,2,FALSE),2)</f>
        <v>쇼핑몰</v>
      </c>
      <c r="C15" s="4" t="s">
        <v>67</v>
      </c>
      <c r="D15" s="1" t="s">
        <v>68</v>
      </c>
      <c r="E15" s="1">
        <v>1</v>
      </c>
      <c r="H15" s="1">
        <v>302008</v>
      </c>
      <c r="I15" s="1">
        <v>3</v>
      </c>
    </row>
    <row r="16" spans="1:9" x14ac:dyDescent="0.3">
      <c r="A16" s="1">
        <v>302021</v>
      </c>
      <c r="B16" s="4" t="str" cm="1">
        <f t="array" ref="B16">INDEX($H$21:$I$24,VLOOKUP(A16,$H$13:$I$17,2,FALSE),2)</f>
        <v>쇼핑몰</v>
      </c>
      <c r="C16" s="4" t="s">
        <v>67</v>
      </c>
      <c r="D16" s="1" t="s">
        <v>69</v>
      </c>
      <c r="E16" s="1">
        <v>1</v>
      </c>
      <c r="H16" s="1">
        <v>302021</v>
      </c>
      <c r="I16" s="1">
        <v>3</v>
      </c>
    </row>
    <row r="17" spans="1:9" x14ac:dyDescent="0.3">
      <c r="A17" s="1">
        <v>302008</v>
      </c>
      <c r="B17" s="4" t="str" cm="1">
        <f t="array" ref="B17">INDEX($H$21:$I$24,VLOOKUP(A17,$H$13:$I$17,2,FALSE),2)</f>
        <v>쇼핑몰</v>
      </c>
      <c r="C17" s="4" t="s">
        <v>70</v>
      </c>
      <c r="D17" s="1" t="s">
        <v>71</v>
      </c>
      <c r="E17" s="1">
        <v>1</v>
      </c>
      <c r="H17" s="1">
        <v>302025</v>
      </c>
      <c r="I17" s="1">
        <v>4</v>
      </c>
    </row>
    <row r="18" spans="1:9" x14ac:dyDescent="0.3">
      <c r="A18" s="1">
        <v>101004</v>
      </c>
      <c r="B18" s="4" t="str" cm="1">
        <f t="array" ref="B18">INDEX($H$21:$I$24,VLOOKUP(A18,$H$13:$I$17,2,FALSE),2)</f>
        <v>백화점</v>
      </c>
      <c r="C18" s="4" t="s">
        <v>72</v>
      </c>
      <c r="D18" s="1" t="s">
        <v>73</v>
      </c>
      <c r="E18" s="1">
        <v>1</v>
      </c>
    </row>
    <row r="19" spans="1:9" x14ac:dyDescent="0.3">
      <c r="A19" s="1">
        <v>101004</v>
      </c>
      <c r="B19" s="4" t="str" cm="1">
        <f t="array" ref="B19">INDEX($H$21:$I$24,VLOOKUP(A19,$H$13:$I$17,2,FALSE),2)</f>
        <v>백화점</v>
      </c>
      <c r="C19" s="4" t="s">
        <v>72</v>
      </c>
      <c r="D19" s="1" t="s">
        <v>73</v>
      </c>
      <c r="E19" s="1">
        <v>1</v>
      </c>
      <c r="H19" t="s">
        <v>74</v>
      </c>
    </row>
    <row r="20" spans="1:9" x14ac:dyDescent="0.3">
      <c r="A20" s="1">
        <v>302008</v>
      </c>
      <c r="B20" s="4" t="str" cm="1">
        <f t="array" ref="B20">INDEX($H$21:$I$24,VLOOKUP(A20,$H$13:$I$17,2,FALSE),2)</f>
        <v>쇼핑몰</v>
      </c>
      <c r="C20" s="4" t="s">
        <v>70</v>
      </c>
      <c r="D20" s="1" t="s">
        <v>71</v>
      </c>
      <c r="E20" s="1">
        <v>2</v>
      </c>
      <c r="H20" s="1" t="s">
        <v>63</v>
      </c>
      <c r="I20" s="1" t="s">
        <v>59</v>
      </c>
    </row>
    <row r="21" spans="1:9" x14ac:dyDescent="0.3">
      <c r="A21" s="1">
        <v>103801</v>
      </c>
      <c r="B21" s="4" t="str" cm="1">
        <f t="array" ref="B21">INDEX($H$21:$I$24,VLOOKUP(A21,$H$13:$I$17,2,FALSE),2)</f>
        <v>마트직영점</v>
      </c>
      <c r="C21" s="4" t="s">
        <v>75</v>
      </c>
      <c r="D21" s="1" t="s">
        <v>71</v>
      </c>
      <c r="E21" s="1">
        <v>1</v>
      </c>
      <c r="H21" s="1">
        <v>1</v>
      </c>
      <c r="I21" s="1" t="s">
        <v>76</v>
      </c>
    </row>
    <row r="22" spans="1:9" x14ac:dyDescent="0.3">
      <c r="A22" s="1">
        <v>103801</v>
      </c>
      <c r="B22" s="4" t="str" cm="1">
        <f t="array" ref="B22">INDEX($H$21:$I$24,VLOOKUP(A22,$H$13:$I$17,2,FALSE),2)</f>
        <v>마트직영점</v>
      </c>
      <c r="C22" s="4" t="s">
        <v>75</v>
      </c>
      <c r="D22" s="1" t="s">
        <v>77</v>
      </c>
      <c r="E22" s="1">
        <v>1</v>
      </c>
      <c r="H22" s="1">
        <v>2</v>
      </c>
      <c r="I22" s="1" t="s">
        <v>78</v>
      </c>
    </row>
    <row r="23" spans="1:9" x14ac:dyDescent="0.3">
      <c r="A23" s="1">
        <v>302008</v>
      </c>
      <c r="B23" s="4" t="str" cm="1">
        <f t="array" ref="B23">INDEX($H$21:$I$24,VLOOKUP(A23,$H$13:$I$17,2,FALSE),2)</f>
        <v>쇼핑몰</v>
      </c>
      <c r="C23" s="4" t="s">
        <v>70</v>
      </c>
      <c r="D23" s="1" t="s">
        <v>79</v>
      </c>
      <c r="E23" s="1">
        <v>1</v>
      </c>
      <c r="H23" s="1">
        <v>3</v>
      </c>
      <c r="I23" s="1" t="s">
        <v>80</v>
      </c>
    </row>
    <row r="24" spans="1:9" x14ac:dyDescent="0.3">
      <c r="A24" s="1">
        <v>302021</v>
      </c>
      <c r="B24" s="4" t="str" cm="1">
        <f t="array" ref="B24">INDEX($H$21:$I$24,VLOOKUP(A24,$H$13:$I$17,2,FALSE),2)</f>
        <v>쇼핑몰</v>
      </c>
      <c r="C24" s="4" t="s">
        <v>67</v>
      </c>
      <c r="D24" s="1" t="s">
        <v>66</v>
      </c>
      <c r="E24" s="1">
        <v>1</v>
      </c>
      <c r="H24" s="1">
        <v>4</v>
      </c>
      <c r="I24" s="1" t="s">
        <v>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3D379-E755-436B-95D7-D970B01802DF}">
  <dimension ref="A1:L27"/>
  <sheetViews>
    <sheetView workbookViewId="0"/>
  </sheetViews>
  <sheetFormatPr defaultRowHeight="16.5" x14ac:dyDescent="0.3"/>
  <cols>
    <col min="2" max="2" width="10" customWidth="1"/>
    <col min="3" max="3" width="12.375" bestFit="1" customWidth="1"/>
    <col min="6" max="6" width="12.75" customWidth="1"/>
    <col min="7" max="7" width="2.75" customWidth="1"/>
    <col min="8" max="8" width="13.875" customWidth="1"/>
  </cols>
  <sheetData>
    <row r="1" spans="1:12" x14ac:dyDescent="0.3">
      <c r="A1" t="s">
        <v>0</v>
      </c>
      <c r="B1" t="s">
        <v>81</v>
      </c>
      <c r="H1" t="s">
        <v>82</v>
      </c>
    </row>
    <row r="2" spans="1:12" x14ac:dyDescent="0.3">
      <c r="A2" s="1" t="s">
        <v>83</v>
      </c>
      <c r="B2" s="1" t="s">
        <v>84</v>
      </c>
      <c r="C2" s="1" t="s">
        <v>85</v>
      </c>
      <c r="D2" s="1" t="s">
        <v>86</v>
      </c>
      <c r="E2" s="1" t="s">
        <v>87</v>
      </c>
      <c r="F2" s="2" t="s">
        <v>88</v>
      </c>
      <c r="H2" s="1" t="s">
        <v>89</v>
      </c>
      <c r="I2" s="1">
        <v>1</v>
      </c>
      <c r="J2" s="1">
        <v>5</v>
      </c>
      <c r="K2" s="1">
        <v>15</v>
      </c>
      <c r="L2" s="1">
        <v>25</v>
      </c>
    </row>
    <row r="3" spans="1:12" x14ac:dyDescent="0.3">
      <c r="A3" s="1" t="s">
        <v>90</v>
      </c>
      <c r="B3" s="1" t="s">
        <v>91</v>
      </c>
      <c r="C3" s="1">
        <v>920</v>
      </c>
      <c r="D3" s="1">
        <v>880</v>
      </c>
      <c r="E3" s="1">
        <v>10</v>
      </c>
      <c r="F3" s="9">
        <f>E3*HLOOKUP(E3,$I$2:$L$3,2)</f>
        <v>100000</v>
      </c>
      <c r="H3" s="1" t="s">
        <v>88</v>
      </c>
      <c r="I3" s="1">
        <v>5000</v>
      </c>
      <c r="J3" s="1">
        <v>10000</v>
      </c>
      <c r="K3" s="1">
        <v>15000</v>
      </c>
      <c r="L3" s="1">
        <v>20000</v>
      </c>
    </row>
    <row r="4" spans="1:12" x14ac:dyDescent="0.3">
      <c r="A4" s="1" t="s">
        <v>92</v>
      </c>
      <c r="B4" s="1" t="s">
        <v>93</v>
      </c>
      <c r="C4" s="1">
        <v>910</v>
      </c>
      <c r="D4" s="1">
        <v>720</v>
      </c>
      <c r="E4" s="1">
        <v>3</v>
      </c>
      <c r="F4" s="9">
        <f t="shared" ref="F4:F7" si="0">E4*HLOOKUP(E4,$I$2:$L$3,2)</f>
        <v>15000</v>
      </c>
    </row>
    <row r="5" spans="1:12" x14ac:dyDescent="0.3">
      <c r="A5" s="1" t="s">
        <v>94</v>
      </c>
      <c r="B5" s="1" t="s">
        <v>95</v>
      </c>
      <c r="C5" s="1">
        <v>890</v>
      </c>
      <c r="D5" s="1">
        <v>890</v>
      </c>
      <c r="E5" s="1">
        <v>2</v>
      </c>
      <c r="F5" s="9">
        <f t="shared" si="0"/>
        <v>10000</v>
      </c>
    </row>
    <row r="6" spans="1:12" x14ac:dyDescent="0.3">
      <c r="A6" s="1" t="s">
        <v>96</v>
      </c>
      <c r="B6" s="1" t="s">
        <v>91</v>
      </c>
      <c r="C6" s="1">
        <v>890</v>
      </c>
      <c r="D6" s="1">
        <v>840</v>
      </c>
      <c r="E6" s="1">
        <v>5</v>
      </c>
      <c r="F6" s="9">
        <f t="shared" si="0"/>
        <v>50000</v>
      </c>
    </row>
    <row r="7" spans="1:12" x14ac:dyDescent="0.3">
      <c r="A7" s="1" t="s">
        <v>97</v>
      </c>
      <c r="B7" s="1" t="s">
        <v>93</v>
      </c>
      <c r="C7" s="1">
        <v>880</v>
      </c>
      <c r="D7" s="1">
        <v>830</v>
      </c>
      <c r="E7" s="1">
        <v>10</v>
      </c>
      <c r="F7" s="9">
        <f t="shared" si="0"/>
        <v>100000</v>
      </c>
    </row>
    <row r="9" spans="1:12" x14ac:dyDescent="0.3">
      <c r="A9" t="s">
        <v>21</v>
      </c>
      <c r="B9" t="s">
        <v>98</v>
      </c>
      <c r="H9" t="s">
        <v>99</v>
      </c>
    </row>
    <row r="10" spans="1:12" x14ac:dyDescent="0.3">
      <c r="A10" s="6" t="s">
        <v>100</v>
      </c>
      <c r="B10" s="6" t="s">
        <v>101</v>
      </c>
      <c r="C10" s="6" t="s">
        <v>102</v>
      </c>
      <c r="D10" s="6" t="s">
        <v>103</v>
      </c>
      <c r="E10" s="6" t="s">
        <v>104</v>
      </c>
      <c r="F10" s="12" t="s">
        <v>105</v>
      </c>
      <c r="H10" s="4" t="s">
        <v>102</v>
      </c>
      <c r="I10" s="4">
        <v>30</v>
      </c>
      <c r="J10" s="4">
        <v>60</v>
      </c>
      <c r="K10" s="4">
        <v>90</v>
      </c>
      <c r="L10" s="4">
        <v>120</v>
      </c>
    </row>
    <row r="11" spans="1:12" x14ac:dyDescent="0.3">
      <c r="A11" s="1" t="s">
        <v>106</v>
      </c>
      <c r="B11" s="1" t="s">
        <v>107</v>
      </c>
      <c r="C11" s="4">
        <v>30</v>
      </c>
      <c r="D11" s="1">
        <v>13</v>
      </c>
      <c r="E11" s="1">
        <v>48</v>
      </c>
      <c r="F11" s="13">
        <f>IF(LEFT(A11,2)="외주",HLOOKUP(C11,$I$10:$L$11,2)*E11,HLOOKUP(C11,$I$10:$L$11,2)*E11*1.25)</f>
        <v>18000000</v>
      </c>
      <c r="H11" s="4" t="s">
        <v>108</v>
      </c>
      <c r="I11" s="4">
        <v>300000</v>
      </c>
      <c r="J11" s="4">
        <v>500000</v>
      </c>
      <c r="K11" s="4">
        <v>700000</v>
      </c>
      <c r="L11" s="4">
        <v>900000</v>
      </c>
    </row>
    <row r="12" spans="1:12" x14ac:dyDescent="0.3">
      <c r="A12" s="1" t="s">
        <v>109</v>
      </c>
      <c r="B12" s="1" t="s">
        <v>107</v>
      </c>
      <c r="C12" s="4">
        <v>45</v>
      </c>
      <c r="D12" s="1">
        <v>20</v>
      </c>
      <c r="E12" s="1">
        <v>148</v>
      </c>
      <c r="F12" s="13">
        <f t="shared" ref="F12:F16" si="1">IF(LEFT(A12,2)="외주",HLOOKUP(C12,$I$10:$L$11,2)*E12,HLOOKUP(C12,$I$10:$L$11,2)*E12*1.25)</f>
        <v>44400000</v>
      </c>
    </row>
    <row r="13" spans="1:12" x14ac:dyDescent="0.3">
      <c r="A13" s="1" t="s">
        <v>106</v>
      </c>
      <c r="B13" s="1" t="s">
        <v>107</v>
      </c>
      <c r="C13" s="4">
        <v>60</v>
      </c>
      <c r="D13" s="1">
        <v>12</v>
      </c>
      <c r="E13" s="1">
        <v>56</v>
      </c>
      <c r="F13" s="13">
        <f t="shared" si="1"/>
        <v>35000000</v>
      </c>
    </row>
    <row r="14" spans="1:12" x14ac:dyDescent="0.3">
      <c r="A14" s="1" t="s">
        <v>110</v>
      </c>
      <c r="B14" s="1" t="s">
        <v>111</v>
      </c>
      <c r="C14" s="4">
        <v>30</v>
      </c>
      <c r="D14" s="1">
        <v>10</v>
      </c>
      <c r="E14" s="1">
        <v>76</v>
      </c>
      <c r="F14" s="13">
        <f t="shared" si="1"/>
        <v>22800000</v>
      </c>
    </row>
    <row r="15" spans="1:12" x14ac:dyDescent="0.3">
      <c r="A15" s="1" t="s">
        <v>109</v>
      </c>
      <c r="B15" s="1" t="s">
        <v>111</v>
      </c>
      <c r="C15" s="4">
        <v>60</v>
      </c>
      <c r="D15" s="1">
        <v>12</v>
      </c>
      <c r="E15" s="1">
        <v>56</v>
      </c>
      <c r="F15" s="13">
        <f t="shared" si="1"/>
        <v>28000000</v>
      </c>
    </row>
    <row r="16" spans="1:12" x14ac:dyDescent="0.3">
      <c r="A16" s="1" t="s">
        <v>112</v>
      </c>
      <c r="B16" s="1" t="s">
        <v>111</v>
      </c>
      <c r="C16" s="4">
        <v>30</v>
      </c>
      <c r="D16" s="1">
        <v>10</v>
      </c>
      <c r="E16" s="1">
        <v>76</v>
      </c>
      <c r="F16" s="13">
        <f t="shared" si="1"/>
        <v>28500000</v>
      </c>
    </row>
    <row r="19" spans="1:8" x14ac:dyDescent="0.3">
      <c r="A19" t="s">
        <v>3</v>
      </c>
      <c r="B19" t="s">
        <v>113</v>
      </c>
    </row>
    <row r="20" spans="1:8" x14ac:dyDescent="0.3">
      <c r="A20" s="1" t="s">
        <v>114</v>
      </c>
      <c r="B20" s="18" t="s">
        <v>115</v>
      </c>
      <c r="C20" s="19"/>
      <c r="D20" s="1" t="s">
        <v>42</v>
      </c>
      <c r="E20" s="1" t="s">
        <v>116</v>
      </c>
      <c r="F20" s="3" t="s">
        <v>117</v>
      </c>
    </row>
    <row r="21" spans="1:8" x14ac:dyDescent="0.3">
      <c r="A21" s="1" t="s">
        <v>118</v>
      </c>
      <c r="B21" s="16">
        <v>40969</v>
      </c>
      <c r="C21" s="17"/>
      <c r="D21" s="1" t="s">
        <v>119</v>
      </c>
      <c r="E21" s="1" t="s">
        <v>120</v>
      </c>
      <c r="F21" s="14">
        <f ca="1">IF(YEAR(TODAY())-YEAR(B21)&gt;=10,150000,50000)</f>
        <v>150000</v>
      </c>
      <c r="H21" s="15"/>
    </row>
    <row r="22" spans="1:8" x14ac:dyDescent="0.3">
      <c r="A22" s="1" t="s">
        <v>121</v>
      </c>
      <c r="B22" s="16">
        <v>44562</v>
      </c>
      <c r="C22" s="17"/>
      <c r="D22" s="1" t="s">
        <v>122</v>
      </c>
      <c r="E22" s="1" t="s">
        <v>120</v>
      </c>
      <c r="F22" s="14">
        <f t="shared" ref="F22:F27" ca="1" si="2">IF(YEAR(TODAY())-YEAR(B22)&gt;=10,150000,50000)</f>
        <v>50000</v>
      </c>
      <c r="H22" s="15"/>
    </row>
    <row r="23" spans="1:8" x14ac:dyDescent="0.3">
      <c r="A23" s="1" t="s">
        <v>123</v>
      </c>
      <c r="B23" s="16">
        <v>43466</v>
      </c>
      <c r="C23" s="17"/>
      <c r="D23" s="1" t="s">
        <v>124</v>
      </c>
      <c r="E23" s="1" t="s">
        <v>120</v>
      </c>
      <c r="F23" s="14">
        <f t="shared" ca="1" si="2"/>
        <v>50000</v>
      </c>
      <c r="H23" s="15"/>
    </row>
    <row r="24" spans="1:8" x14ac:dyDescent="0.3">
      <c r="A24" s="1" t="s">
        <v>125</v>
      </c>
      <c r="B24" s="16">
        <v>44197</v>
      </c>
      <c r="C24" s="17"/>
      <c r="D24" s="1" t="s">
        <v>122</v>
      </c>
      <c r="E24" s="1" t="s">
        <v>126</v>
      </c>
      <c r="F24" s="14">
        <f t="shared" ca="1" si="2"/>
        <v>50000</v>
      </c>
      <c r="H24" s="15"/>
    </row>
    <row r="25" spans="1:8" x14ac:dyDescent="0.3">
      <c r="A25" s="1" t="s">
        <v>127</v>
      </c>
      <c r="B25" s="16">
        <v>44927</v>
      </c>
      <c r="C25" s="17"/>
      <c r="D25" s="1" t="s">
        <v>119</v>
      </c>
      <c r="E25" s="1" t="s">
        <v>126</v>
      </c>
      <c r="F25" s="14">
        <f t="shared" ca="1" si="2"/>
        <v>50000</v>
      </c>
      <c r="H25" s="15"/>
    </row>
    <row r="26" spans="1:8" x14ac:dyDescent="0.3">
      <c r="A26" s="1" t="s">
        <v>128</v>
      </c>
      <c r="B26" s="16">
        <v>44228</v>
      </c>
      <c r="C26" s="17"/>
      <c r="D26" s="1" t="s">
        <v>124</v>
      </c>
      <c r="E26" s="1" t="s">
        <v>126</v>
      </c>
      <c r="F26" s="14">
        <f t="shared" ca="1" si="2"/>
        <v>50000</v>
      </c>
      <c r="H26" s="15"/>
    </row>
    <row r="27" spans="1:8" x14ac:dyDescent="0.3">
      <c r="A27" s="1" t="s">
        <v>129</v>
      </c>
      <c r="B27" s="16">
        <v>40575</v>
      </c>
      <c r="C27" s="17"/>
      <c r="D27" s="1" t="s">
        <v>122</v>
      </c>
      <c r="E27" s="1" t="s">
        <v>130</v>
      </c>
      <c r="F27" s="14">
        <f t="shared" ca="1" si="2"/>
        <v>150000</v>
      </c>
      <c r="H27" s="15"/>
    </row>
  </sheetData>
  <mergeCells count="8">
    <mergeCell ref="B26:C26"/>
    <mergeCell ref="B27:C27"/>
    <mergeCell ref="B20:C20"/>
    <mergeCell ref="B21:C21"/>
    <mergeCell ref="B22:C22"/>
    <mergeCell ref="B23:C23"/>
    <mergeCell ref="B24:C24"/>
    <mergeCell ref="B25:C2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무작정따라하기2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2023-05-11T10:11:56Z</dcterms:created>
  <dcterms:modified xsi:type="dcterms:W3CDTF">2023-09-12T08:25:24Z</dcterms:modified>
</cp:coreProperties>
</file>