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4.xml" ContentType="application/vnd.openxmlformats-officedocument.spreadsheetml.pivot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workspace\PersonalStudy\컴활1급\실기\길벗컴활1급\01 엑셀\01 섹션\"/>
    </mc:Choice>
  </mc:AlternateContent>
  <xr:revisionPtr revIDLastSave="0" documentId="13_ncr:1_{0499F116-1172-491F-8124-C12B376D0CAD}" xr6:coauthVersionLast="47" xr6:coauthVersionMax="47" xr10:uidLastSave="{00000000-0000-0000-0000-000000000000}"/>
  <bookViews>
    <workbookView xWindow="-120" yWindow="-120" windowWidth="38640" windowHeight="21240" activeTab="5" xr2:uid="{8EE505C6-C1F3-41CB-A1AE-7908827DE881}"/>
  </bookViews>
  <sheets>
    <sheet name="3월가공현황" sheetId="6" r:id="rId1"/>
    <sheet name="무작정따라하기" sheetId="1" r:id="rId2"/>
    <sheet name="기출01" sheetId="2" r:id="rId3"/>
    <sheet name="기출02" sheetId="3" r:id="rId4"/>
    <sheet name="Sheet1" sheetId="7" r:id="rId5"/>
    <sheet name="시스템SW" sheetId="8" r:id="rId6"/>
    <sheet name="기출03" sheetId="4" r:id="rId7"/>
  </sheets>
  <definedNames>
    <definedName name="ExternalData_1" localSheetId="4" hidden="1">Sheet1!$A$3:$L$5</definedName>
    <definedName name="ExternalData_1" localSheetId="5" hidden="1">시스템SW!$A$1:$L$3</definedName>
  </definedNames>
  <calcPr calcId="191029"/>
  <pivotCaches>
    <pivotCache cacheId="5" r:id="rId8"/>
    <pivotCache cacheId="74" r:id="rId9"/>
    <pivotCache cacheId="120" r:id="rId10"/>
    <pivotCache cacheId="126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업종별임금수준_07066b70-3151-4ff1-98b3-e7013d530c0d" name="업종별임금수준" connection="임금수준1"/>
          <x15:modelTable id="상공대학" name="상공대학" connection="상공대학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0F49091-67B3-4483-B453-D87DB99D8756}" keepAlive="1" name="ModelConnection_ExternalData_1" description="데이터 모델" type="5" refreshedVersion="8" minRefreshableVersion="5" saveData="1">
    <dbPr connection="Data Model Connection" command="DRILLTHROUGH MAXROWS 1000 SELECT FROM [Model] WHERE (([Measures].[합계: 종사자수],[업종별임금수준].[업무].&amp;[개발],[업종별임금수준].[분류].&amp;[시스템SW개발자])) RETURN [$업종별임금수준].[ID],[$업종별임금수준].[분류],[$업종별임금수준].[업무],[$업종별임금수준].[종사자수],[$업종별임금수준].[월평균임금],[$업종별임금수준].[평균학력],[$업종별임금수준].[평균연령],[$업종별임금수준].[평균근속년수],[$업종별임금수준].[평균경력],[$업종별임금수준].[주당작업시간],[$업종별임금수준].[여성비율],[$업종별임금수준].[임금근로자수]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A7C7C86E-C562-4D79-9795-B9CEF5F87238}" keepAlive="1" name="ModelConnection_ExternalData_11" description="데이터 모델" type="5" refreshedVersion="8" minRefreshableVersion="5" saveData="1">
    <dbPr connection="Data Model Connection" command="DRILLTHROUGH MAXROWS 1000 SELECT FROM [Model] WHERE (([Measures].[평균: 종사자수],[업종별임금수준].[업무].&amp;[개발],[업종별임금수준].[분류].&amp;[시스템SW개발자])) RETURN [$업종별임금수준].[ID],[$업종별임금수준].[분류],[$업종별임금수준].[업무],[$업종별임금수준].[종사자수],[$업종별임금수준].[월평균임금],[$업종별임금수준].[평균학력],[$업종별임금수준].[평균연령],[$업종별임금수준].[평균근속년수],[$업종별임금수준].[평균경력],[$업종별임금수준].[주당작업시간],[$업종별임금수준].[여성비율],[$업종별임금수준].[임금근로자수]" commandType="4"/>
    <extLst>
      <ext xmlns:x15="http://schemas.microsoft.com/office/spreadsheetml/2010/11/main" uri="{DE250136-89BD-433C-8126-D09CA5730AF9}">
        <x15:connection id="" model="1"/>
      </ext>
    </extLst>
  </connection>
  <connection id="3" xr16:uid="{4E8CD888-82DC-46F0-8B4B-30352C6D080A}" name="MS Access Database_Query" type="1" refreshedVersion="8" background="1">
    <dbPr connection="DSN=MS Access Database;DBQ=E:\workspace\PersonalStudy\컴활1급\실기\길벗컴활1급\01 엑셀\01 섹션\제품가공.accdb;DefaultDir=E:\workspace\PersonalStudy\컴활1급\실기\길벗컴활1급\01 엑셀\01 섹션;DriverId=25;FIL=MS Access;MaxBufferSize=2048;PageTimeout=5;" command="SELECT 팀별가공현황.제조순번, 팀별가공현황.가공일, 팀별가공현황.가공팀, 팀별가공현황.단위당원가, 팀별가공현황.목표매출액_x000d__x000a_FROM 팀별가공현황 팀별가공현황"/>
  </connection>
  <connection id="4" xr16:uid="{5AE049F6-D38B-4AB7-AAE0-85D96EB9C856}" name="MS Access Database_Query1" type="1" refreshedVersion="8" background="1">
    <dbPr connection="DSN=MS Access Database;DBQ=E:\workspace\PersonalStudy\컴활1급\실기\길벗컴활1급\01 엑셀\01 섹션\대출관리.accdb;DefaultDir=E:\workspace\PersonalStudy\컴활1급\실기\길벗컴활1급\01 엑셀\01 섹션;DriverId=25;FIL=MS Access;MaxBufferSize=2048;PageTimeout=5;" command="SELECT 대출정보.대출번호, 대출정보.대출지점, 대출정보.대출금액, 대출정보.기간_x000d__x000a_FROM 대출정보 대출정보_x000d__x000a_WHERE (대출정보.기간&gt;=20)"/>
  </connection>
  <connection id="5" xr16:uid="{E5BF95F1-F236-41E0-A240-E0BD3D7E0692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" xr16:uid="{6EA20242-8C18-4891-B34E-DE03289BF093}" sourceFile="C:\길벗컴활1급\01 엑셀\01 섹션\대출관리.accdb" keepAlive="1" name="대출관리" type="5" refreshedVersion="7" background="1">
    <dbPr connection="Provider=Microsoft.ACE.OLEDB.12.0;User ID=Admin;Data Source=C:\길벗컴활1급\01 엑셀\01 섹션\대출관리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대출정보" commandType="3"/>
  </connection>
  <connection id="7" xr16:uid="{B93A3D5B-0F01-4CAA-A731-FBABBCEC56E7}" name="상공대학" type="103" refreshedVersion="8" minRefreshableVersion="5">
    <extLst>
      <ext xmlns:x15="http://schemas.microsoft.com/office/spreadsheetml/2010/11/main" uri="{DE250136-89BD-433C-8126-D09CA5730AF9}">
        <x15:connection id="상공대학" autoDelete="1">
          <x15:textPr prompt="0" codePage="949" sourceFile="E:\workspace\PersonalStudy\컴활1급\실기\길벗컴활1급\01 엑셀\01 섹션\상공대학.csv" tab="0" comma="1">
            <textFields count="9">
              <textField/>
              <textField/>
              <textField type="skip"/>
              <textField/>
              <textField/>
              <textField type="skip"/>
              <textField type="skip"/>
              <textField type="skip"/>
              <textField type="skip"/>
            </textFields>
          </x15:textPr>
          <x15:modelTextPr headers="1"/>
        </x15:connection>
      </ext>
    </extLst>
  </connection>
  <connection id="8" xr16:uid="{16FD7405-203F-42D7-869B-9D8B7CF2E5A4}" sourceFile="C:\길벗컴활1급\01 엑셀\01 섹션\임금수준.xlsx" keepAlive="1" name="임금수준" type="5" refreshedVersion="8" background="1">
    <dbPr connection="Provider=Microsoft.ACE.OLEDB.12.0;User ID=Admin;Data Source=C:\길벗컴활1급\01 엑셀\01 섹션\임금수준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업종별임금수준" commandType="3"/>
  </connection>
  <connection id="9" xr16:uid="{9D7F5C85-2DF6-47F1-921C-54674F354FDC}" sourceFile="E:\workspace\PersonalStudy\컴활1급\실기\길벗컴활1급\01 엑셀\01 섹션\임금수준.xlsx" name="임금수준1" type="100" refreshedVersion="8" minRefreshableVersion="5">
    <extLst>
      <ext xmlns:x15="http://schemas.microsoft.com/office/spreadsheetml/2010/11/main" uri="{DE250136-89BD-433C-8126-D09CA5730AF9}">
        <x15:connection id="a5f0944a-5221-4b95-becd-f2794c443d38" autoDelete="1"/>
      </ext>
    </extLst>
  </connection>
  <connection id="10" xr16:uid="{DACA78C2-9E32-437C-A2A0-0C6D28B34524}" sourceFile="C:\길벗컴활1급\01 엑셀\01 섹션\제품가공.accdb" keepAlive="1" name="제품가공" type="5" refreshedVersion="7" background="1">
    <dbPr connection="Provider=Microsoft.ACE.OLEDB.12.0;User ID=Admin;Data Source=C:\길벗컴활1급\01 엑셀\01 섹션\제품가공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팀별가공현황" commandType="3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상공대학].[수강과목].&amp;[액세스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<sst xmlns="http://schemas.openxmlformats.org/spreadsheetml/2006/main" count="111" uniqueCount="76">
  <si>
    <t>총합계</t>
  </si>
  <si>
    <t>1월</t>
  </si>
  <si>
    <t>2월</t>
  </si>
  <si>
    <t>3월</t>
  </si>
  <si>
    <t>제조순번</t>
  </si>
  <si>
    <t>(모두)</t>
  </si>
  <si>
    <t>제조1팀</t>
  </si>
  <si>
    <t>제조3팀</t>
  </si>
  <si>
    <t>제조5팀</t>
  </si>
  <si>
    <t>가공팀</t>
  </si>
  <si>
    <t>개월(가공일)</t>
  </si>
  <si>
    <t>가공일</t>
  </si>
  <si>
    <t>평균 : 단위당원가</t>
  </si>
  <si>
    <t>평균 : 목표매출액</t>
  </si>
  <si>
    <t>단위당원가</t>
  </si>
  <si>
    <t>목표매출액</t>
  </si>
  <si>
    <t>2023-059</t>
  </si>
  <si>
    <t>수강과목</t>
  </si>
  <si>
    <t>03L321</t>
  </si>
  <si>
    <t>04G121</t>
  </si>
  <si>
    <t>04G741</t>
  </si>
  <si>
    <t>04M143</t>
  </si>
  <si>
    <t>합계: 중간</t>
  </si>
  <si>
    <t>합계: 기말</t>
  </si>
  <si>
    <t>학번</t>
  </si>
  <si>
    <t>값</t>
  </si>
  <si>
    <t>전체 합계: 중간</t>
  </si>
  <si>
    <t>전체 합계: 기말</t>
  </si>
  <si>
    <t>액세스</t>
  </si>
  <si>
    <t>대출지점</t>
  </si>
  <si>
    <t>합계 : 기간</t>
  </si>
  <si>
    <t>합계 : 대출금액</t>
  </si>
  <si>
    <t>대출번호</t>
  </si>
  <si>
    <t>합계 : 월이자</t>
  </si>
  <si>
    <t>대출번호2</t>
  </si>
  <si>
    <t>주택자금</t>
  </si>
  <si>
    <t>국민주택기금</t>
  </si>
  <si>
    <t>무보증신용</t>
  </si>
  <si>
    <t>예부적금담보</t>
  </si>
  <si>
    <t>개발</t>
  </si>
  <si>
    <t>관리</t>
  </si>
  <si>
    <t>PC강사</t>
  </si>
  <si>
    <t>멀티미디어기획</t>
  </si>
  <si>
    <t>시스템SW개발자</t>
  </si>
  <si>
    <t>웹개발자</t>
  </si>
  <si>
    <t>응용SW개발자</t>
  </si>
  <si>
    <t>통신공학기술자</t>
  </si>
  <si>
    <t>통신케이블설치</t>
  </si>
  <si>
    <t>IT컨설턴트</t>
  </si>
  <si>
    <t>NW분석가</t>
  </si>
  <si>
    <t>PC수리원</t>
  </si>
  <si>
    <t>SM관리자</t>
  </si>
  <si>
    <t>보안전문가</t>
  </si>
  <si>
    <t>시스템설계/분석</t>
  </si>
  <si>
    <t>애니메이터</t>
  </si>
  <si>
    <t>웹디자이너</t>
  </si>
  <si>
    <t>정보통신관리자</t>
  </si>
  <si>
    <t>업종별임금수준[ID]</t>
  </si>
  <si>
    <t>업종별임금수준[분류]</t>
  </si>
  <si>
    <t>업종별임금수준[업무]</t>
  </si>
  <si>
    <t>업종별임금수준[종사자수]</t>
  </si>
  <si>
    <t>업종별임금수준[월평균임금]</t>
  </si>
  <si>
    <t>업종별임금수준[평균학력]</t>
  </si>
  <si>
    <t>업종별임금수준[평균연령]</t>
  </si>
  <si>
    <t>업종별임금수준[평균근속년수]</t>
  </si>
  <si>
    <t>업종별임금수준[평균경력]</t>
  </si>
  <si>
    <t>업종별임금수준[주당작업시간]</t>
  </si>
  <si>
    <t>업종별임금수준[여성비율]</t>
  </si>
  <si>
    <t>업종별임금수준[임금근로자수]</t>
  </si>
  <si>
    <t>합계: 종사자수, 개발 - 시스템SW개발자(처음 1000행)에 대한 데이터가 반환되었습니다.</t>
  </si>
  <si>
    <t>업무</t>
  </si>
  <si>
    <t>분류</t>
  </si>
  <si>
    <t>개발 요약</t>
  </si>
  <si>
    <t>관리 요약</t>
  </si>
  <si>
    <t>평균: 종사자수</t>
  </si>
  <si>
    <t>평균: 월평균임금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</si>
</sst>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General&quot;점&quot;"/>
    <numFmt numFmtId="178" formatCode="#,##0_ "/>
    <numFmt numFmtId="179" formatCode="0.0_ 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2" fillId="0" borderId="0" xfId="0" applyFont="1">
      <alignment vertical="center"/>
    </xf>
    <xf numFmtId="176" fontId="0" fillId="0" borderId="0" xfId="0" applyNumberFormat="1">
      <alignment vertical="center"/>
    </xf>
    <xf numFmtId="14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</cellXfs>
  <cellStyles count="1">
    <cellStyle name="표준" xfId="0" builtinId="0"/>
  </cellStyles>
  <dxfs count="1">
    <dxf>
      <numFmt numFmtId="19" formatCode="yyyy/mm/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nHo Song" refreshedDate="45631.984912499996" backgroundQuery="1" createdVersion="8" refreshedVersion="8" minRefreshableVersion="3" recordCount="62" xr:uid="{16D879A2-A30A-4FD2-8B62-6F586E5CA3D6}">
  <cacheSource type="external" connectionId="3"/>
  <cacheFields count="6">
    <cacheField name="제조순번" numFmtId="0" sqlType="-9">
      <sharedItems count="62">
        <s v="2023-001"/>
        <s v="2023-002"/>
        <s v="2023-003"/>
        <s v="2023-004"/>
        <s v="2023-005"/>
        <s v="2023-006"/>
        <s v="2023-007"/>
        <s v="2023-008"/>
        <s v="2023-009"/>
        <s v="2023-010"/>
        <s v="2023-011"/>
        <s v="2023-012"/>
        <s v="2023-013"/>
        <s v="2023-014"/>
        <s v="2023-015"/>
        <s v="2023-016"/>
        <s v="2023-017"/>
        <s v="2023-018"/>
        <s v="2023-019"/>
        <s v="2023-020"/>
        <s v="2023-021"/>
        <s v="2023-022"/>
        <s v="2023-023"/>
        <s v="2023-024"/>
        <s v="2023-025"/>
        <s v="2023-026"/>
        <s v="2023-027"/>
        <s v="2023-028"/>
        <s v="2023-029"/>
        <s v="2023-030"/>
        <s v="2023-031"/>
        <s v="2023-032"/>
        <s v="2023-033"/>
        <s v="2023-034"/>
        <s v="2023-035"/>
        <s v="2023-036"/>
        <s v="2023-037"/>
        <s v="2023-038"/>
        <s v="2023-039"/>
        <s v="2023-040"/>
        <s v="2023-041"/>
        <s v="2023-042"/>
        <s v="2023-043"/>
        <s v="2023-044"/>
        <s v="2023-045"/>
        <s v="2023-046"/>
        <s v="2023-047"/>
        <s v="2023-048"/>
        <s v="2023-049"/>
        <s v="2023-050"/>
        <s v="2023-051"/>
        <s v="2023-052"/>
        <s v="2023-053"/>
        <s v="2023-054"/>
        <s v="2023-055"/>
        <s v="2023-056"/>
        <s v="2023-057"/>
        <s v="2023-058"/>
        <s v="2023-059"/>
        <s v="2023-060"/>
        <s v="2023-061"/>
        <s v="2023-062"/>
      </sharedItems>
    </cacheField>
    <cacheField name="가공일" numFmtId="0" sqlType="11">
      <sharedItems containsSemiMixedTypes="0" containsNonDate="0" containsDate="1" containsString="0" minDate="2023-01-05T00:00:00" maxDate="2023-03-08T00:00:00" count="62"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5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27T00:00:00"/>
        <d v="2023-02-28T00:00:00"/>
        <d v="2023-03-01T00:00:00"/>
        <d v="2023-03-02T00:00:00"/>
        <d v="2023-03-03T00:00:00"/>
        <d v="2023-03-04T00:00:00"/>
        <d v="2023-03-05T00:00:00"/>
        <d v="2023-03-06T00:00:00"/>
        <d v="2023-03-07T00:00:00"/>
      </sharedItems>
      <fieldGroup par="5"/>
    </cacheField>
    <cacheField name="가공팀" numFmtId="0" sqlType="-9">
      <sharedItems count="6">
        <s v="제조1팀"/>
        <s v="제조3팀"/>
        <s v="제조6팀"/>
        <s v="제조5팀"/>
        <s v="제조4팀"/>
        <s v="제조2팀"/>
      </sharedItems>
    </cacheField>
    <cacheField name="단위당원가" numFmtId="0" sqlType="8">
      <sharedItems containsSemiMixedTypes="0" containsString="0" containsNumber="1" containsInteger="1" minValue="100" maxValue="300" count="5">
        <n v="150"/>
        <n v="300"/>
        <n v="200"/>
        <n v="100"/>
        <n v="250"/>
      </sharedItems>
    </cacheField>
    <cacheField name="목표매출액" numFmtId="0" sqlType="8">
      <sharedItems containsSemiMixedTypes="0" containsString="0" containsNumber="1" containsInteger="1" minValue="57200" maxValue="343200"/>
    </cacheField>
    <cacheField name="개월(가공일)" numFmtId="0" databaseField="0">
      <fieldGroup base="1">
        <rangePr groupBy="months" startDate="2023-01-05T00:00:00" endDate="2023-03-08T00:00:00"/>
        <groupItems count="14">
          <s v="&lt;2023-01-05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3-03-0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nHo Song" refreshedDate="45632.006034953702" backgroundQuery="1" createdVersion="8" refreshedVersion="8" minRefreshableVersion="3" recordCount="27" xr:uid="{E2F29D10-5F76-4082-96AD-2065B75C4136}">
  <cacheSource type="external" connectionId="4"/>
  <cacheFields count="6">
    <cacheField name="대출번호" numFmtId="0" sqlType="-9">
      <sharedItems count="27">
        <s v="M01-23"/>
        <s v="M02-12"/>
        <s v="M01-27"/>
        <s v="M03-37"/>
        <s v="K02-59"/>
        <s v="Y03-08"/>
        <s v="M02-14"/>
        <s v="Y01-07"/>
        <s v="K04-02"/>
        <s v="J03-26"/>
        <s v="K03-05"/>
        <s v="M01-37"/>
        <s v="K01-02"/>
        <s v="Y04-48"/>
        <s v="Y02-67"/>
        <s v="J02-38"/>
        <s v="J02-01"/>
        <s v="M01-64"/>
        <s v="Y04-15"/>
        <s v="K02-28"/>
        <s v="J04-26"/>
        <s v="K03-52"/>
        <s v="Y03-88"/>
        <s v="J04-31"/>
        <s v="M02-06"/>
        <s v="K04-35"/>
        <s v="J01-42"/>
      </sharedItems>
      <fieldGroup par="5"/>
    </cacheField>
    <cacheField name="대출지점" numFmtId="0" sqlType="-9">
      <sharedItems count="4">
        <s v="서울"/>
        <s v="경기"/>
        <s v="부산"/>
        <s v="충청"/>
      </sharedItems>
    </cacheField>
    <cacheField name="대출금액" numFmtId="0" sqlType="4">
      <sharedItems containsSemiMixedTypes="0" containsString="0" containsNumber="1" containsInteger="1" minValue="1000000" maxValue="35000000" count="13">
        <n v="5000000"/>
        <n v="3000000"/>
        <n v="8000000"/>
        <n v="10000000"/>
        <n v="7000000"/>
        <n v="2000000"/>
        <n v="12000000"/>
        <n v="15000000"/>
        <n v="1000000"/>
        <n v="27000000"/>
        <n v="6000000"/>
        <n v="4000000"/>
        <n v="35000000"/>
      </sharedItems>
    </cacheField>
    <cacheField name="기간" numFmtId="0" sqlType="4">
      <sharedItems containsSemiMixedTypes="0" containsString="0" containsNumber="1" containsInteger="1" minValue="24" maxValue="60" count="5">
        <n v="30"/>
        <n v="24"/>
        <n v="36"/>
        <n v="60"/>
        <n v="48"/>
      </sharedItems>
    </cacheField>
    <cacheField name="월이자" numFmtId="0" formula="대출금액 *0.05/12" databaseField="0"/>
    <cacheField name="대출번호2" numFmtId="0" databaseField="0">
      <fieldGroup base="0">
        <discretePr count="27">
          <x v="2"/>
          <x v="2"/>
          <x v="2"/>
          <x v="2"/>
          <x v="1"/>
          <x v="3"/>
          <x v="2"/>
          <x v="3"/>
          <x v="1"/>
          <x v="0"/>
          <x v="1"/>
          <x v="2"/>
          <x v="1"/>
          <x v="3"/>
          <x v="3"/>
          <x v="0"/>
          <x v="0"/>
          <x v="2"/>
          <x v="3"/>
          <x v="1"/>
          <x v="0"/>
          <x v="1"/>
          <x v="3"/>
          <x v="0"/>
          <x v="2"/>
          <x v="1"/>
          <x v="0"/>
        </discretePr>
        <groupItems count="4">
          <s v="그룹1"/>
          <s v="그룹2"/>
          <s v="그룹3"/>
          <s v="그룹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unHo Song" refreshedDate="45632.163814583335" backgroundQuery="1" createdVersion="8" refreshedVersion="8" minRefreshableVersion="3" recordCount="0" supportSubquery="1" supportAdvancedDrill="1" xr:uid="{1FBFB7D5-EFF4-46F3-8E61-D2AB5B794D39}">
  <cacheSource type="external" connectionId="5"/>
  <cacheFields count="4">
    <cacheField name="[상공대학].[수강과목].[수강과목]" caption="수강과목" numFmtId="0" hierarchy="1" level="1">
      <sharedItems containsSemiMixedTypes="0" containsNonDate="0" containsString="0"/>
    </cacheField>
    <cacheField name="[상공대학].[학번].[학번]" caption="학번" numFmtId="0" level="1">
      <sharedItems count="4">
        <s v="03L321"/>
        <s v="04G121"/>
        <s v="04G741"/>
        <s v="04M143"/>
      </sharedItems>
    </cacheField>
    <cacheField name="[Measures].[합계: 중간]" caption="합계: 중간" numFmtId="0" hierarchy="19" level="32767"/>
    <cacheField name="[Measures].[합계: 기말]" caption="합계: 기말" numFmtId="0" hierarchy="20" level="32767"/>
  </cacheFields>
  <cacheHierarchies count="26">
    <cacheHierarchy uniqueName="[상공대학].[학번]" caption="학번" attribute="1" defaultMemberUniqueName="[상공대학].[학번].[All]" allUniqueName="[상공대학].[학번].[All]" dimensionUniqueName="[상공대학]" displayFolder="" count="2" memberValueDatatype="130" unbalanced="0">
      <fieldsUsage count="2">
        <fieldUsage x="-1"/>
        <fieldUsage x="1"/>
      </fieldsUsage>
    </cacheHierarchy>
    <cacheHierarchy uniqueName="[상공대학].[수강과목]" caption="수강과목" attribute="1" defaultMemberUniqueName="[상공대학].[수강과목].[All]" allUniqueName="[상공대학].[수강과목].[All]" dimensionUniqueName="[상공대학]" displayFolder="" count="2" memberValueDatatype="130" unbalanced="0">
      <fieldsUsage count="2">
        <fieldUsage x="-1"/>
        <fieldUsage x="0"/>
      </fieldsUsage>
    </cacheHierarchy>
    <cacheHierarchy uniqueName="[상공대학].[중간]" caption="중간" attribute="1" defaultMemberUniqueName="[상공대학].[중간].[All]" allUniqueName="[상공대학].[중간].[All]" dimensionUniqueName="[상공대학]" displayFolder="" count="0" memberValueDatatype="20" unbalanced="0"/>
    <cacheHierarchy uniqueName="[상공대학].[기말]" caption="기말" attribute="1" defaultMemberUniqueName="[상공대학].[기말].[All]" allUniqueName="[상공대학].[기말].[All]" dimensionUniqueName="[상공대학]" displayFolder="" count="0" memberValueDatatype="20" unbalanced="0"/>
    <cacheHierarchy uniqueName="[업종별임금수준].[ID]" caption="ID" attribute="1" defaultMemberUniqueName="[업종별임금수준].[ID].[All]" allUniqueName="[업종별임금수준].[ID].[All]" dimensionUniqueName="[업종별임금수준]" displayFolder="" count="0" memberValueDatatype="5" unbalanced="0"/>
    <cacheHierarchy uniqueName="[업종별임금수준].[분류]" caption="분류" attribute="1" defaultMemberUniqueName="[업종별임금수준].[분류].[All]" allUniqueName="[업종별임금수준].[분류].[All]" dimensionUniqueName="[업종별임금수준]" displayFolder="" count="0" memberValueDatatype="130" unbalanced="0"/>
    <cacheHierarchy uniqueName="[업종별임금수준].[업무]" caption="업무" attribute="1" defaultMemberUniqueName="[업종별임금수준].[업무].[All]" allUniqueName="[업종별임금수준].[업무].[All]" dimensionUniqueName="[업종별임금수준]" displayFolder="" count="0" memberValueDatatype="130" unbalanced="0"/>
    <cacheHierarchy uniqueName="[업종별임금수준].[종사자수]" caption="종사자수" attribute="1" defaultMemberUniqueName="[업종별임금수준].[종사자수].[All]" allUniqueName="[업종별임금수준].[종사자수].[All]" dimensionUniqueName="[업종별임금수준]" displayFolder="" count="0" memberValueDatatype="5" unbalanced="0"/>
    <cacheHierarchy uniqueName="[업종별임금수준].[월평균임금]" caption="월평균임금" attribute="1" defaultMemberUniqueName="[업종별임금수준].[월평균임금].[All]" allUniqueName="[업종별임금수준].[월평균임금].[All]" dimensionUniqueName="[업종별임금수준]" displayFolder="" count="0" memberValueDatatype="5" unbalanced="0"/>
    <cacheHierarchy uniqueName="[업종별임금수준].[평균학력]" caption="평균학력" attribute="1" defaultMemberUniqueName="[업종별임금수준].[평균학력].[All]" allUniqueName="[업종별임금수준].[평균학력].[All]" dimensionUniqueName="[업종별임금수준]" displayFolder="" count="0" memberValueDatatype="5" unbalanced="0"/>
    <cacheHierarchy uniqueName="[업종별임금수준].[평균연령]" caption="평균연령" attribute="1" defaultMemberUniqueName="[업종별임금수준].[평균연령].[All]" allUniqueName="[업종별임금수준].[평균연령].[All]" dimensionUniqueName="[업종별임금수준]" displayFolder="" count="0" memberValueDatatype="5" unbalanced="0"/>
    <cacheHierarchy uniqueName="[업종별임금수준].[평균근속년수]" caption="평균근속년수" attribute="1" defaultMemberUniqueName="[업종별임금수준].[평균근속년수].[All]" allUniqueName="[업종별임금수준].[평균근속년수].[All]" dimensionUniqueName="[업종별임금수준]" displayFolder="" count="0" memberValueDatatype="5" unbalanced="0"/>
    <cacheHierarchy uniqueName="[업종별임금수준].[평균경력]" caption="평균경력" attribute="1" defaultMemberUniqueName="[업종별임금수준].[평균경력].[All]" allUniqueName="[업종별임금수준].[평균경력].[All]" dimensionUniqueName="[업종별임금수준]" displayFolder="" count="0" memberValueDatatype="5" unbalanced="0"/>
    <cacheHierarchy uniqueName="[업종별임금수준].[주당작업시간]" caption="주당작업시간" attribute="1" defaultMemberUniqueName="[업종별임금수준].[주당작업시간].[All]" allUniqueName="[업종별임금수준].[주당작업시간].[All]" dimensionUniqueName="[업종별임금수준]" displayFolder="" count="0" memberValueDatatype="5" unbalanced="0"/>
    <cacheHierarchy uniqueName="[업종별임금수준].[여성비율]" caption="여성비율" attribute="1" defaultMemberUniqueName="[업종별임금수준].[여성비율].[All]" allUniqueName="[업종별임금수준].[여성비율].[All]" dimensionUniqueName="[업종별임금수준]" displayFolder="" count="0" memberValueDatatype="5" unbalanced="0"/>
    <cacheHierarchy uniqueName="[업종별임금수준].[임금근로자수]" caption="임금근로자수" attribute="1" defaultMemberUniqueName="[업종별임금수준].[임금근로자수].[All]" allUniqueName="[업종별임금수준].[임금근로자수].[All]" dimensionUniqueName="[업종별임금수준]" displayFolder="" count="0" memberValueDatatype="5" unbalanced="0"/>
    <cacheHierarchy uniqueName="[Measures].[__XL_Count 상공대학]" caption="__XL_Count 상공대학" measure="1" displayFolder="" measureGroup="상공대학" count="0" hidden="1"/>
    <cacheHierarchy uniqueName="[Measures].[__XL_Count 업종별임금수준]" caption="__XL_Count 업종별임금수준" measure="1" displayFolder="" measureGroup="업종별임금수준" count="0" hidden="1"/>
    <cacheHierarchy uniqueName="[Measures].[__No measures defined]" caption="__No measures defined" measure="1" displayFolder="" count="0" hidden="1"/>
    <cacheHierarchy uniqueName="[Measures].[합계: 중간]" caption="합계: 중간" measure="1" displayFolder="" measureGroup="상공대학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기말]" caption="합계: 기말" measure="1" displayFolder="" measureGroup="상공대학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개수: 분류]" caption="개수: 분류" measure="1" displayFolder="" measureGroup="업종별임금수준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합계: 종사자수]" caption="합계: 종사자수" measure="1" displayFolder="" measureGroup="업종별임금수준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합계: 월평균임금]" caption="합계: 월평균임금" measure="1" displayFolder="" measureGroup="업종별임금수준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평균: 종사자수]" caption="평균: 종사자수" measure="1" displayFolder="" measureGroup="업종별임금수준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평균: 월평균임금]" caption="평균: 월평균임금" measure="1" displayFolder="" measureGroup="업종별임금수준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3">
    <dimension measure="1" name="Measures" uniqueName="[Measures]" caption="Measures"/>
    <dimension name="상공대학" uniqueName="[상공대학]" caption="상공대학"/>
    <dimension name="업종별임금수준" uniqueName="[업종별임금수준]" caption="업종별임금수준"/>
  </dimensions>
  <measureGroups count="2">
    <measureGroup name="상공대학" caption="상공대학"/>
    <measureGroup name="업종별임금수준" caption="업종별임금수준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unHo Song" refreshedDate="45632.170438310182" backgroundQuery="1" createdVersion="8" refreshedVersion="8" minRefreshableVersion="3" recordCount="0" supportSubquery="1" supportAdvancedDrill="1" xr:uid="{1728C5CA-1F66-4A40-B6B6-C9D9CEA4AF32}">
  <cacheSource type="external" connectionId="5"/>
  <cacheFields count="4">
    <cacheField name="[업종별임금수준].[업무].[업무]" caption="업무" numFmtId="0" hierarchy="6" level="1">
      <sharedItems count="2">
        <s v="개발"/>
        <s v="관리"/>
      </sharedItems>
    </cacheField>
    <cacheField name="[업종별임금수준].[분류].[분류]" caption="분류" numFmtId="0" hierarchy="5" level="1">
      <sharedItems count="16">
        <s v="PC강사"/>
        <s v="멀티미디어기획"/>
        <s v="시스템SW개발자"/>
        <s v="웹개발자"/>
        <s v="응용SW개발자"/>
        <s v="통신공학기술자"/>
        <s v="통신케이블설치"/>
        <s v="IT컨설턴트"/>
        <s v="NW분석가"/>
        <s v="PC수리원"/>
        <s v="SM관리자"/>
        <s v="보안전문가"/>
        <s v="시스템설계/분석"/>
        <s v="애니메이터"/>
        <s v="웹디자이너"/>
        <s v="정보통신관리자"/>
      </sharedItems>
    </cacheField>
    <cacheField name="[Measures].[평균: 종사자수]" caption="평균: 종사자수" numFmtId="0" hierarchy="24" level="32767"/>
    <cacheField name="[Measures].[평균: 월평균임금]" caption="평균: 월평균임금" numFmtId="0" hierarchy="25" level="32767"/>
  </cacheFields>
  <cacheHierarchies count="26">
    <cacheHierarchy uniqueName="[상공대학].[학번]" caption="학번" attribute="1" defaultMemberUniqueName="[상공대학].[학번].[All]" allUniqueName="[상공대학].[학번].[All]" dimensionUniqueName="[상공대학]" displayFolder="" count="0" memberValueDatatype="130" unbalanced="0"/>
    <cacheHierarchy uniqueName="[상공대학].[수강과목]" caption="수강과목" attribute="1" defaultMemberUniqueName="[상공대학].[수강과목].[All]" allUniqueName="[상공대학].[수강과목].[All]" dimensionUniqueName="[상공대학]" displayFolder="" count="0" memberValueDatatype="130" unbalanced="0"/>
    <cacheHierarchy uniqueName="[상공대학].[중간]" caption="중간" attribute="1" defaultMemberUniqueName="[상공대학].[중간].[All]" allUniqueName="[상공대학].[중간].[All]" dimensionUniqueName="[상공대학]" displayFolder="" count="0" memberValueDatatype="20" unbalanced="0"/>
    <cacheHierarchy uniqueName="[상공대학].[기말]" caption="기말" attribute="1" defaultMemberUniqueName="[상공대학].[기말].[All]" allUniqueName="[상공대학].[기말].[All]" dimensionUniqueName="[상공대학]" displayFolder="" count="0" memberValueDatatype="20" unbalanced="0"/>
    <cacheHierarchy uniqueName="[업종별임금수준].[ID]" caption="ID" attribute="1" defaultMemberUniqueName="[업종별임금수준].[ID].[All]" allUniqueName="[업종별임금수준].[ID].[All]" dimensionUniqueName="[업종별임금수준]" displayFolder="" count="0" memberValueDatatype="5" unbalanced="0"/>
    <cacheHierarchy uniqueName="[업종별임금수준].[분류]" caption="분류" attribute="1" defaultMemberUniqueName="[업종별임금수준].[분류].[All]" allUniqueName="[업종별임금수준].[분류].[All]" dimensionUniqueName="[업종별임금수준]" displayFolder="" count="2" memberValueDatatype="130" unbalanced="0">
      <fieldsUsage count="2">
        <fieldUsage x="-1"/>
        <fieldUsage x="1"/>
      </fieldsUsage>
    </cacheHierarchy>
    <cacheHierarchy uniqueName="[업종별임금수준].[업무]" caption="업무" attribute="1" defaultMemberUniqueName="[업종별임금수준].[업무].[All]" allUniqueName="[업종별임금수준].[업무].[All]" dimensionUniqueName="[업종별임금수준]" displayFolder="" count="2" memberValueDatatype="130" unbalanced="0">
      <fieldsUsage count="2">
        <fieldUsage x="-1"/>
        <fieldUsage x="0"/>
      </fieldsUsage>
    </cacheHierarchy>
    <cacheHierarchy uniqueName="[업종별임금수준].[종사자수]" caption="종사자수" attribute="1" defaultMemberUniqueName="[업종별임금수준].[종사자수].[All]" allUniqueName="[업종별임금수준].[종사자수].[All]" dimensionUniqueName="[업종별임금수준]" displayFolder="" count="0" memberValueDatatype="5" unbalanced="0"/>
    <cacheHierarchy uniqueName="[업종별임금수준].[월평균임금]" caption="월평균임금" attribute="1" defaultMemberUniqueName="[업종별임금수준].[월평균임금].[All]" allUniqueName="[업종별임금수준].[월평균임금].[All]" dimensionUniqueName="[업종별임금수준]" displayFolder="" count="0" memberValueDatatype="5" unbalanced="0"/>
    <cacheHierarchy uniqueName="[업종별임금수준].[평균학력]" caption="평균학력" attribute="1" defaultMemberUniqueName="[업종별임금수준].[평균학력].[All]" allUniqueName="[업종별임금수준].[평균학력].[All]" dimensionUniqueName="[업종별임금수준]" displayFolder="" count="0" memberValueDatatype="5" unbalanced="0"/>
    <cacheHierarchy uniqueName="[업종별임금수준].[평균연령]" caption="평균연령" attribute="1" defaultMemberUniqueName="[업종별임금수준].[평균연령].[All]" allUniqueName="[업종별임금수준].[평균연령].[All]" dimensionUniqueName="[업종별임금수준]" displayFolder="" count="0" memberValueDatatype="5" unbalanced="0"/>
    <cacheHierarchy uniqueName="[업종별임금수준].[평균근속년수]" caption="평균근속년수" attribute="1" defaultMemberUniqueName="[업종별임금수준].[평균근속년수].[All]" allUniqueName="[업종별임금수준].[평균근속년수].[All]" dimensionUniqueName="[업종별임금수준]" displayFolder="" count="0" memberValueDatatype="5" unbalanced="0"/>
    <cacheHierarchy uniqueName="[업종별임금수준].[평균경력]" caption="평균경력" attribute="1" defaultMemberUniqueName="[업종별임금수준].[평균경력].[All]" allUniqueName="[업종별임금수준].[평균경력].[All]" dimensionUniqueName="[업종별임금수준]" displayFolder="" count="0" memberValueDatatype="5" unbalanced="0"/>
    <cacheHierarchy uniqueName="[업종별임금수준].[주당작업시간]" caption="주당작업시간" attribute="1" defaultMemberUniqueName="[업종별임금수준].[주당작업시간].[All]" allUniqueName="[업종별임금수준].[주당작업시간].[All]" dimensionUniqueName="[업종별임금수준]" displayFolder="" count="0" memberValueDatatype="5" unbalanced="0"/>
    <cacheHierarchy uniqueName="[업종별임금수준].[여성비율]" caption="여성비율" attribute="1" defaultMemberUniqueName="[업종별임금수준].[여성비율].[All]" allUniqueName="[업종별임금수준].[여성비율].[All]" dimensionUniqueName="[업종별임금수준]" displayFolder="" count="0" memberValueDatatype="5" unbalanced="0"/>
    <cacheHierarchy uniqueName="[업종별임금수준].[임금근로자수]" caption="임금근로자수" attribute="1" defaultMemberUniqueName="[업종별임금수준].[임금근로자수].[All]" allUniqueName="[업종별임금수준].[임금근로자수].[All]" dimensionUniqueName="[업종별임금수준]" displayFolder="" count="0" memberValueDatatype="5" unbalanced="0"/>
    <cacheHierarchy uniqueName="[Measures].[__XL_Count 상공대학]" caption="__XL_Count 상공대학" measure="1" displayFolder="" measureGroup="상공대학" count="0" hidden="1"/>
    <cacheHierarchy uniqueName="[Measures].[__XL_Count 업종별임금수준]" caption="__XL_Count 업종별임금수준" measure="1" displayFolder="" measureGroup="업종별임금수준" count="0" hidden="1"/>
    <cacheHierarchy uniqueName="[Measures].[__No measures defined]" caption="__No measures defined" measure="1" displayFolder="" count="0" hidden="1"/>
    <cacheHierarchy uniqueName="[Measures].[합계: 중간]" caption="합계: 중간" measure="1" displayFolder="" measureGroup="상공대학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기말]" caption="합계: 기말" measure="1" displayFolder="" measureGroup="상공대학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개수: 분류]" caption="개수: 분류" measure="1" displayFolder="" measureGroup="업종별임금수준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합계: 종사자수]" caption="합계: 종사자수" measure="1" displayFolder="" measureGroup="업종별임금수준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합계: 월평균임금]" caption="합계: 월평균임금" measure="1" displayFolder="" measureGroup="업종별임금수준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평균: 종사자수]" caption="평균: 종사자수" measure="1" displayFolder="" measureGroup="업종별임금수준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평균: 월평균임금]" caption="평균: 월평균임금" measure="1" displayFolder="" measureGroup="업종별임금수준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3">
    <dimension measure="1" name="Measures" uniqueName="[Measures]" caption="Measures"/>
    <dimension name="상공대학" uniqueName="[상공대학]" caption="상공대학"/>
    <dimension name="업종별임금수준" uniqueName="[업종별임금수준]" caption="업종별임금수준"/>
  </dimensions>
  <measureGroups count="2">
    <measureGroup name="상공대학" caption="상공대학"/>
    <measureGroup name="업종별임금수준" caption="업종별임금수준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">
  <r>
    <x v="0"/>
    <x v="0"/>
    <x v="0"/>
    <x v="0"/>
    <n v="165600"/>
  </r>
  <r>
    <x v="1"/>
    <x v="1"/>
    <x v="0"/>
    <x v="1"/>
    <n v="186300"/>
  </r>
  <r>
    <x v="2"/>
    <x v="2"/>
    <x v="1"/>
    <x v="2"/>
    <n v="150800"/>
  </r>
  <r>
    <x v="3"/>
    <x v="3"/>
    <x v="2"/>
    <x v="3"/>
    <n v="80300"/>
  </r>
  <r>
    <x v="4"/>
    <x v="4"/>
    <x v="3"/>
    <x v="1"/>
    <n v="269100"/>
  </r>
  <r>
    <x v="5"/>
    <x v="5"/>
    <x v="2"/>
    <x v="0"/>
    <n v="171600"/>
  </r>
  <r>
    <x v="6"/>
    <x v="6"/>
    <x v="1"/>
    <x v="2"/>
    <n v="204000"/>
  </r>
  <r>
    <x v="7"/>
    <x v="7"/>
    <x v="4"/>
    <x v="2"/>
    <n v="156000"/>
  </r>
  <r>
    <x v="8"/>
    <x v="8"/>
    <x v="3"/>
    <x v="2"/>
    <n v="158600"/>
  </r>
  <r>
    <x v="9"/>
    <x v="9"/>
    <x v="5"/>
    <x v="0"/>
    <n v="90750"/>
  </r>
  <r>
    <x v="10"/>
    <x v="10"/>
    <x v="5"/>
    <x v="2"/>
    <n v="145600"/>
  </r>
  <r>
    <x v="11"/>
    <x v="11"/>
    <x v="2"/>
    <x v="0"/>
    <n v="138450"/>
  </r>
  <r>
    <x v="12"/>
    <x v="12"/>
    <x v="4"/>
    <x v="2"/>
    <n v="127600"/>
  </r>
  <r>
    <x v="13"/>
    <x v="13"/>
    <x v="5"/>
    <x v="0"/>
    <n v="102300"/>
  </r>
  <r>
    <x v="14"/>
    <x v="14"/>
    <x v="5"/>
    <x v="4"/>
    <n v="165000"/>
  </r>
  <r>
    <x v="15"/>
    <x v="15"/>
    <x v="4"/>
    <x v="2"/>
    <n v="160800"/>
  </r>
  <r>
    <x v="16"/>
    <x v="16"/>
    <x v="3"/>
    <x v="2"/>
    <n v="138600"/>
  </r>
  <r>
    <x v="17"/>
    <x v="17"/>
    <x v="5"/>
    <x v="2"/>
    <n v="132000"/>
  </r>
  <r>
    <x v="18"/>
    <x v="18"/>
    <x v="1"/>
    <x v="1"/>
    <n v="208800"/>
  </r>
  <r>
    <x v="19"/>
    <x v="19"/>
    <x v="5"/>
    <x v="0"/>
    <n v="120600"/>
  </r>
  <r>
    <x v="20"/>
    <x v="20"/>
    <x v="2"/>
    <x v="4"/>
    <n v="249000"/>
  </r>
  <r>
    <x v="21"/>
    <x v="21"/>
    <x v="5"/>
    <x v="1"/>
    <n v="343200"/>
  </r>
  <r>
    <x v="22"/>
    <x v="22"/>
    <x v="1"/>
    <x v="1"/>
    <n v="237600"/>
  </r>
  <r>
    <x v="23"/>
    <x v="23"/>
    <x v="2"/>
    <x v="2"/>
    <n v="191400"/>
  </r>
  <r>
    <x v="24"/>
    <x v="24"/>
    <x v="1"/>
    <x v="2"/>
    <n v="171600"/>
  </r>
  <r>
    <x v="25"/>
    <x v="25"/>
    <x v="2"/>
    <x v="0"/>
    <n v="108900"/>
  </r>
  <r>
    <x v="26"/>
    <x v="26"/>
    <x v="5"/>
    <x v="0"/>
    <n v="101400"/>
  </r>
  <r>
    <x v="27"/>
    <x v="27"/>
    <x v="4"/>
    <x v="1"/>
    <n v="298800"/>
  </r>
  <r>
    <x v="28"/>
    <x v="28"/>
    <x v="5"/>
    <x v="2"/>
    <n v="206400"/>
  </r>
  <r>
    <x v="29"/>
    <x v="29"/>
    <x v="2"/>
    <x v="0"/>
    <n v="130350"/>
  </r>
  <r>
    <x v="30"/>
    <x v="30"/>
    <x v="2"/>
    <x v="2"/>
    <n v="187200"/>
  </r>
  <r>
    <x v="31"/>
    <x v="31"/>
    <x v="2"/>
    <x v="2"/>
    <n v="223600"/>
  </r>
  <r>
    <x v="32"/>
    <x v="32"/>
    <x v="1"/>
    <x v="4"/>
    <n v="250250"/>
  </r>
  <r>
    <x v="33"/>
    <x v="33"/>
    <x v="2"/>
    <x v="0"/>
    <n v="110550"/>
  </r>
  <r>
    <x v="34"/>
    <x v="34"/>
    <x v="4"/>
    <x v="1"/>
    <n v="308100"/>
  </r>
  <r>
    <x v="35"/>
    <x v="35"/>
    <x v="2"/>
    <x v="4"/>
    <n v="184250"/>
  </r>
  <r>
    <x v="36"/>
    <x v="36"/>
    <x v="3"/>
    <x v="2"/>
    <n v="150800"/>
  </r>
  <r>
    <x v="37"/>
    <x v="37"/>
    <x v="4"/>
    <x v="2"/>
    <n v="184800"/>
  </r>
  <r>
    <x v="38"/>
    <x v="38"/>
    <x v="5"/>
    <x v="3"/>
    <n v="89100"/>
  </r>
  <r>
    <x v="39"/>
    <x v="39"/>
    <x v="2"/>
    <x v="2"/>
    <n v="169400"/>
  </r>
  <r>
    <x v="40"/>
    <x v="40"/>
    <x v="2"/>
    <x v="3"/>
    <n v="92300"/>
  </r>
  <r>
    <x v="41"/>
    <x v="41"/>
    <x v="4"/>
    <x v="1"/>
    <n v="309600"/>
  </r>
  <r>
    <x v="42"/>
    <x v="42"/>
    <x v="4"/>
    <x v="2"/>
    <n v="156000"/>
  </r>
  <r>
    <x v="43"/>
    <x v="43"/>
    <x v="3"/>
    <x v="4"/>
    <n v="170500"/>
  </r>
  <r>
    <x v="44"/>
    <x v="44"/>
    <x v="1"/>
    <x v="3"/>
    <n v="88000"/>
  </r>
  <r>
    <x v="45"/>
    <x v="45"/>
    <x v="1"/>
    <x v="2"/>
    <n v="121000"/>
  </r>
  <r>
    <x v="46"/>
    <x v="46"/>
    <x v="1"/>
    <x v="2"/>
    <n v="145200"/>
  </r>
  <r>
    <x v="47"/>
    <x v="47"/>
    <x v="4"/>
    <x v="1"/>
    <n v="339300"/>
  </r>
  <r>
    <x v="48"/>
    <x v="48"/>
    <x v="2"/>
    <x v="2"/>
    <n v="162800"/>
  </r>
  <r>
    <x v="49"/>
    <x v="49"/>
    <x v="4"/>
    <x v="4"/>
    <n v="256750"/>
  </r>
  <r>
    <x v="50"/>
    <x v="50"/>
    <x v="1"/>
    <x v="3"/>
    <n v="85200"/>
  </r>
  <r>
    <x v="51"/>
    <x v="51"/>
    <x v="5"/>
    <x v="3"/>
    <n v="83600"/>
  </r>
  <r>
    <x v="52"/>
    <x v="52"/>
    <x v="2"/>
    <x v="2"/>
    <n v="204000"/>
  </r>
  <r>
    <x v="53"/>
    <x v="53"/>
    <x v="1"/>
    <x v="4"/>
    <n v="228000"/>
  </r>
  <r>
    <x v="54"/>
    <x v="54"/>
    <x v="5"/>
    <x v="4"/>
    <n v="260000"/>
  </r>
  <r>
    <x v="55"/>
    <x v="55"/>
    <x v="4"/>
    <x v="0"/>
    <n v="126000"/>
  </r>
  <r>
    <x v="56"/>
    <x v="56"/>
    <x v="5"/>
    <x v="3"/>
    <n v="93500"/>
  </r>
  <r>
    <x v="57"/>
    <x v="57"/>
    <x v="2"/>
    <x v="2"/>
    <n v="132000"/>
  </r>
  <r>
    <x v="58"/>
    <x v="58"/>
    <x v="1"/>
    <x v="0"/>
    <n v="141900"/>
  </r>
  <r>
    <x v="59"/>
    <x v="59"/>
    <x v="4"/>
    <x v="2"/>
    <n v="110000"/>
  </r>
  <r>
    <x v="60"/>
    <x v="60"/>
    <x v="2"/>
    <x v="3"/>
    <n v="57200"/>
  </r>
  <r>
    <x v="61"/>
    <x v="61"/>
    <x v="5"/>
    <x v="3"/>
    <n v="624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x v="0"/>
    <x v="0"/>
    <x v="0"/>
  </r>
  <r>
    <x v="1"/>
    <x v="1"/>
    <x v="1"/>
    <x v="1"/>
  </r>
  <r>
    <x v="2"/>
    <x v="0"/>
    <x v="2"/>
    <x v="0"/>
  </r>
  <r>
    <x v="3"/>
    <x v="2"/>
    <x v="3"/>
    <x v="2"/>
  </r>
  <r>
    <x v="4"/>
    <x v="1"/>
    <x v="4"/>
    <x v="0"/>
  </r>
  <r>
    <x v="5"/>
    <x v="2"/>
    <x v="5"/>
    <x v="3"/>
  </r>
  <r>
    <x v="6"/>
    <x v="1"/>
    <x v="0"/>
    <x v="0"/>
  </r>
  <r>
    <x v="7"/>
    <x v="0"/>
    <x v="1"/>
    <x v="2"/>
  </r>
  <r>
    <x v="8"/>
    <x v="3"/>
    <x v="0"/>
    <x v="0"/>
  </r>
  <r>
    <x v="9"/>
    <x v="2"/>
    <x v="6"/>
    <x v="3"/>
  </r>
  <r>
    <x v="10"/>
    <x v="2"/>
    <x v="7"/>
    <x v="3"/>
  </r>
  <r>
    <x v="11"/>
    <x v="0"/>
    <x v="0"/>
    <x v="2"/>
  </r>
  <r>
    <x v="12"/>
    <x v="0"/>
    <x v="4"/>
    <x v="1"/>
  </r>
  <r>
    <x v="13"/>
    <x v="3"/>
    <x v="1"/>
    <x v="2"/>
  </r>
  <r>
    <x v="14"/>
    <x v="1"/>
    <x v="8"/>
    <x v="4"/>
  </r>
  <r>
    <x v="15"/>
    <x v="1"/>
    <x v="9"/>
    <x v="4"/>
  </r>
  <r>
    <x v="16"/>
    <x v="1"/>
    <x v="7"/>
    <x v="3"/>
  </r>
  <r>
    <x v="17"/>
    <x v="0"/>
    <x v="1"/>
    <x v="1"/>
  </r>
  <r>
    <x v="18"/>
    <x v="3"/>
    <x v="1"/>
    <x v="2"/>
  </r>
  <r>
    <x v="19"/>
    <x v="1"/>
    <x v="3"/>
    <x v="0"/>
  </r>
  <r>
    <x v="20"/>
    <x v="3"/>
    <x v="7"/>
    <x v="3"/>
  </r>
  <r>
    <x v="21"/>
    <x v="2"/>
    <x v="10"/>
    <x v="1"/>
  </r>
  <r>
    <x v="22"/>
    <x v="2"/>
    <x v="11"/>
    <x v="4"/>
  </r>
  <r>
    <x v="23"/>
    <x v="3"/>
    <x v="12"/>
    <x v="1"/>
  </r>
  <r>
    <x v="24"/>
    <x v="1"/>
    <x v="5"/>
    <x v="2"/>
  </r>
  <r>
    <x v="25"/>
    <x v="3"/>
    <x v="0"/>
    <x v="1"/>
  </r>
  <r>
    <x v="26"/>
    <x v="0"/>
    <x v="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9C111F-DDD9-4130-93DF-1D29F6EC243F}" name="피벗 테이블1" cacheId="5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compact="0" outline="1" outlineData="1" compactData="0" multipleFieldFilters="0" fieldListSortAscending="1">
  <location ref="A3:D13" firstHeaderRow="0" firstDataRow="1" firstDataCol="2" rowPageCount="1" colPageCount="1"/>
  <pivotFields count="6">
    <pivotField axis="axisPage" compact="0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compact="0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axis="axisRow" compact="0" showAll="0">
      <items count="7">
        <item x="0"/>
        <item h="1" x="5"/>
        <item x="1"/>
        <item h="1" x="4"/>
        <item x="3"/>
        <item h="1" x="2"/>
        <item t="default"/>
      </items>
    </pivotField>
    <pivotField dataField="1" compact="0" showAll="0"/>
    <pivotField dataField="1" compact="0" showAll="0"/>
    <pivotField axis="axisRow" compact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2">
    <field x="2"/>
    <field x="5"/>
  </rowFields>
  <rowItems count="10">
    <i>
      <x/>
    </i>
    <i r="1">
      <x v="1"/>
    </i>
    <i>
      <x v="2"/>
    </i>
    <i r="1">
      <x v="1"/>
    </i>
    <i r="1">
      <x v="2"/>
    </i>
    <i r="1">
      <x v="3"/>
    </i>
    <i>
      <x v="4"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평균 : 단위당원가" fld="3" subtotal="average" showDataAs="percentOfCol" baseField="2" baseItem="1" numFmtId="176"/>
    <dataField name="평균 : 목표매출액" fld="4" subtotal="average" showDataAs="percentOfCol" baseField="2" baseItem="0" numFmtId="176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19E222-8114-46DD-82CC-F9CEA098018B}" name="피벗 테이블2" cacheId="120" dataOnRows="1" applyNumberFormats="0" applyBorderFormats="0" applyFontFormats="0" applyPatternFormats="0" applyAlignmentFormats="0" applyWidthHeightFormats="1" dataCaption="값" updatedVersion="8" minRefreshableVersion="3" useAutoFormatting="1" subtotalHiddenItems="1" itemPrintTitles="1" createdVersion="8" indent="0" compact="0" compactData="0" multipleFieldFilters="0">
  <location ref="A3:C13" firstHeaderRow="1" firstDataRow="1" firstDataCol="2" rowPageCount="1" colPageCount="1"/>
  <pivotFields count="4">
    <pivotField axis="axisPage" compact="0" allDrilled="1" outline="0" subtotalTop="0" showAll="0" dataSourceSort="1" defaultSubtotal="0" defaultAttributeDrillState="1"/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2">
    <field x="1"/>
    <field x="-2"/>
  </rowFields>
  <row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rowItems>
  <colItems count="1">
    <i/>
  </colItems>
  <pageFields count="1">
    <pageField fld="0" hier="1" name="[상공대학].[수강과목].&amp;[액세스]" cap="액세스"/>
  </pageFields>
  <dataFields count="2">
    <dataField name="합계: 중간" fld="2" baseField="1" baseItem="0" numFmtId="177"/>
    <dataField name="합계: 기말" fld="3" baseField="1" baseItem="0" numFmtId="177"/>
  </dataFields>
  <pivotHierarchies count="2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22" showRowHeaders="1" showColHeaders="1" showRowStripes="1" showColStripes="0" showLastColumn="1"/>
  <rowHierarchiesUsage count="2">
    <rowHierarchyUsage hierarchyUsage="0"/>
    <rowHierarchyUsage hierarchyUsage="-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상공대학">
        <x15:activeTabTopLevelEntity name="[상공대학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F5F9C8-1DBC-4F0F-ABED-92C986DC8F32}" name="피벗 테이블4" cacheId="74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compact="0" outline="1" outlineData="1" compactData="0" multipleFieldFilters="0" fieldListSortAscending="1">
  <location ref="A3:E8" firstHeaderRow="0" firstDataRow="1" firstDataCol="2" rowPageCount="1" colPageCount="1"/>
  <pivotFields count="6">
    <pivotField axis="axisRow" compact="0" showAll="0">
      <items count="28">
        <item x="26"/>
        <item x="16"/>
        <item x="15"/>
        <item x="9"/>
        <item x="20"/>
        <item x="23"/>
        <item x="12"/>
        <item x="19"/>
        <item x="4"/>
        <item x="10"/>
        <item x="21"/>
        <item x="8"/>
        <item x="25"/>
        <item x="0"/>
        <item x="2"/>
        <item x="11"/>
        <item x="17"/>
        <item x="24"/>
        <item x="1"/>
        <item x="6"/>
        <item x="3"/>
        <item x="7"/>
        <item x="14"/>
        <item x="5"/>
        <item x="22"/>
        <item x="18"/>
        <item x="13"/>
        <item t="default"/>
      </items>
    </pivotField>
    <pivotField axis="axisPage" compact="0" showAll="0">
      <items count="5">
        <item x="1"/>
        <item x="2"/>
        <item x="0"/>
        <item x="3"/>
        <item t="default"/>
      </items>
    </pivotField>
    <pivotField dataField="1" compact="0" showAll="0"/>
    <pivotField dataField="1" compact="0" showAll="0"/>
    <pivotField dataField="1" compact="0" dragToRow="0" dragToCol="0" dragToPage="0" showAll="0" defaultSubtotal="0"/>
    <pivotField axis="axisRow" compact="0" showAll="0">
      <items count="5">
        <item n="예부적금담보" sd="0" x="3"/>
        <item n="국민주택기금" sd="0" x="1"/>
        <item n="주택자금" sd="0" x="0"/>
        <item n="무보증신용" sd="0" x="2"/>
        <item t="default" sd="0"/>
      </items>
    </pivotField>
  </pivotFields>
  <rowFields count="2">
    <field x="5"/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합계 : 대출금액" fld="2" baseField="5" baseItem="0" numFmtId="178"/>
    <dataField name="합계 : 기간" fld="3" baseField="0" baseItem="0"/>
    <dataField name="합계 : 월이자" fld="4" baseField="5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1E11EB-7F88-4012-BBDF-6518A1A28B26}" name="피벗 테이블5" cacheId="126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compact="0" outline="1" outlineData="1" compactData="0" multipleFieldFilters="0">
  <location ref="A3:D24" firstHeaderRow="0" firstDataRow="1" firstDataCol="2"/>
  <pivotFields count="4">
    <pivotField axis="axisRow" compact="0" allDrilled="1" subtotalTop="0" showAll="0" dataSourceSort="1" defaultAttributeDrillState="1">
      <items count="3">
        <item x="0"/>
        <item x="1"/>
        <item t="default"/>
      </items>
    </pivotField>
    <pivotField axis="axisRow" compact="0" allDrilled="1" subtotalTop="0" showAll="0" dataSourceSor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compact="0" subtotalTop="0" showAll="0"/>
    <pivotField dataField="1" compact="0" subtotalTop="0" showAll="0"/>
  </pivotFields>
  <rowFields count="2">
    <field x="0"/>
    <field x="1"/>
  </rowFields>
  <rowItems count="2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/>
    </i>
    <i>
      <x v="1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t="default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평균: 종사자수" fld="2" subtotal="average" baseField="1" baseItem="3" numFmtId="179"/>
    <dataField name="평균: 월평균임금" fld="3" subtotal="average" baseField="1" baseItem="3" numFmtId="179"/>
  </dataFields>
  <pivotHierarchies count="2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평균: 종사자수"/>
    <pivotHierarchy dragToData="1" caption="평균: 월평균임금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임금수준1">
        <x15:activeTabTopLevelEntity name="[업종별임금수준]"/>
      </x15:pivotTableUISettings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1ECF0F49-952B-4054-BC6E-04784BA899BC}" autoFormatId="16" applyNumberFormats="0" applyBorderFormats="0" applyFontFormats="0" applyPatternFormats="0" applyAlignmentFormats="0" applyWidthHeightFormats="0">
  <queryTableRefresh nextId="13">
    <queryTableFields count="12">
      <queryTableField id="1" name="업종별임금수준[ID]" tableColumnId="1"/>
      <queryTableField id="2" name="업종별임금수준[분류]" tableColumnId="2"/>
      <queryTableField id="3" name="업종별임금수준[업무]" tableColumnId="3"/>
      <queryTableField id="4" name="업종별임금수준[종사자수]" tableColumnId="4"/>
      <queryTableField id="5" name="업종별임금수준[월평균임금]" tableColumnId="5"/>
      <queryTableField id="6" name="업종별임금수준[평균학력]" tableColumnId="6"/>
      <queryTableField id="7" name="업종별임금수준[평균연령]" tableColumnId="7"/>
      <queryTableField id="8" name="업종별임금수준[평균근속년수]" tableColumnId="8"/>
      <queryTableField id="9" name="업종별임금수준[평균경력]" tableColumnId="9"/>
      <queryTableField id="10" name="업종별임금수준[주당작업시간]" tableColumnId="10"/>
      <queryTableField id="11" name="업종별임금수준[여성비율]" tableColumnId="11"/>
      <queryTableField id="12" name="업종별임금수준[임금근로자수]" tableColumnId="12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3595D114-968D-4F26-8158-C7CD5D970B2A}" autoFormatId="16" applyNumberFormats="0" applyBorderFormats="0" applyFontFormats="0" applyPatternFormats="0" applyAlignmentFormats="0" applyWidthHeightFormats="0">
  <queryTableRefresh nextId="13">
    <queryTableFields count="12">
      <queryTableField id="1" name="업종별임금수준[ID]" tableColumnId="1"/>
      <queryTableField id="2" name="업종별임금수준[분류]" tableColumnId="2"/>
      <queryTableField id="3" name="업종별임금수준[업무]" tableColumnId="3"/>
      <queryTableField id="4" name="업종별임금수준[종사자수]" tableColumnId="4"/>
      <queryTableField id="5" name="업종별임금수준[월평균임금]" tableColumnId="5"/>
      <queryTableField id="6" name="업종별임금수준[평균학력]" tableColumnId="6"/>
      <queryTableField id="7" name="업종별임금수준[평균연령]" tableColumnId="7"/>
      <queryTableField id="8" name="업종별임금수준[평균근속년수]" tableColumnId="8"/>
      <queryTableField id="9" name="업종별임금수준[평균경력]" tableColumnId="9"/>
      <queryTableField id="10" name="업종별임금수준[주당작업시간]" tableColumnId="10"/>
      <queryTableField id="11" name="업종별임금수준[여성비율]" tableColumnId="11"/>
      <queryTableField id="12" name="업종별임금수준[임금근로자수]" tableColumnId="12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638A1C-991D-4478-9D56-89FCA456986A}" name="표2" displayName="표2" ref="A1:E2" totalsRowShown="0">
  <autoFilter ref="A1:E2" xr:uid="{43638A1C-991D-4478-9D56-89FCA456986A}"/>
  <sortState xmlns:xlrd2="http://schemas.microsoft.com/office/spreadsheetml/2017/richdata2" ref="A2:E2">
    <sortCondition ref="E1:E2"/>
  </sortState>
  <tableColumns count="5">
    <tableColumn id="1" xr3:uid="{C430C367-0A8D-4140-9B1C-DE16837E81FB}" name="제조순번"/>
    <tableColumn id="2" xr3:uid="{6F03C2AC-CB1E-4EFD-920B-FCEC711E730F}" name="가공일" dataDxfId="0"/>
    <tableColumn id="3" xr3:uid="{FD3BC938-8F97-4C70-9BA5-4C813383E6E7}" name="가공팀"/>
    <tableColumn id="4" xr3:uid="{1823F51A-D3C7-49B3-B097-BA05BD965035}" name="단위당원가"/>
    <tableColumn id="5" xr3:uid="{A9130886-2CB1-49AC-B502-9BA2C7CA0F01}" name="목표매출액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C797E7-C230-45C3-83AA-62917D4882EF}" name="표_ExternalData_1" displayName="표_ExternalData_1" ref="A3:L5" tableType="queryTable" totalsRowShown="0">
  <autoFilter ref="A3:L5" xr:uid="{2EC797E7-C230-45C3-83AA-62917D4882EF}"/>
  <tableColumns count="12">
    <tableColumn id="1" xr3:uid="{6BAC1DF7-CD9F-483D-8E7D-5DC90153164F}" uniqueName="1" name="업종별임금수준[ID]" queryTableFieldId="1"/>
    <tableColumn id="2" xr3:uid="{1FB37851-D543-461E-8C2D-76CC5FC51C4C}" uniqueName="2" name="업종별임금수준[분류]" queryTableFieldId="2"/>
    <tableColumn id="3" xr3:uid="{E3B5A009-19A2-4B02-94EE-E2CBED257D6C}" uniqueName="3" name="업종별임금수준[업무]" queryTableFieldId="3"/>
    <tableColumn id="4" xr3:uid="{CF94C5A7-AD6F-4F3A-B9A0-76931D7A6C58}" uniqueName="4" name="업종별임금수준[종사자수]" queryTableFieldId="4"/>
    <tableColumn id="5" xr3:uid="{203DC4C5-A31A-4FB4-8168-BC90B8AA9018}" uniqueName="5" name="업종별임금수준[월평균임금]" queryTableFieldId="5"/>
    <tableColumn id="6" xr3:uid="{2E5C99AB-20A7-455A-B7D2-0BE0F5B58A30}" uniqueName="6" name="업종별임금수준[평균학력]" queryTableFieldId="6"/>
    <tableColumn id="7" xr3:uid="{1EAB7B09-D3E6-42C2-9CFF-CAB076FE52B6}" uniqueName="7" name="업종별임금수준[평균연령]" queryTableFieldId="7"/>
    <tableColumn id="8" xr3:uid="{5FEFD52A-7F29-4D29-AF06-4342848C107E}" uniqueName="8" name="업종별임금수준[평균근속년수]" queryTableFieldId="8"/>
    <tableColumn id="9" xr3:uid="{BEA31C09-7047-4926-AE47-C779693639A8}" uniqueName="9" name="업종별임금수준[평균경력]" queryTableFieldId="9"/>
    <tableColumn id="10" xr3:uid="{6917C10D-642E-4609-82F1-33FA2B701716}" uniqueName="10" name="업종별임금수준[주당작업시간]" queryTableFieldId="10"/>
    <tableColumn id="11" xr3:uid="{2431C89F-85DF-4A5B-AB25-2C199179EA56}" uniqueName="11" name="업종별임금수준[여성비율]" queryTableFieldId="11"/>
    <tableColumn id="12" xr3:uid="{8822193E-2DD4-4433-975D-2ED3946BA34E}" uniqueName="12" name="업종별임금수준[임금근로자수]" queryTableField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523DFF-0A06-48B7-A76A-F049C6D604A3}" name="표_ExternalData_15" displayName="표_ExternalData_15" ref="A1:L3" tableType="queryTable" totalsRowShown="0">
  <autoFilter ref="A1:L3" xr:uid="{43523DFF-0A06-48B7-A76A-F049C6D604A3}"/>
  <tableColumns count="12">
    <tableColumn id="1" xr3:uid="{EDB6AB24-34DF-46A6-89EC-004D7CE56355}" uniqueName="1" name="업종별임금수준[ID]" queryTableFieldId="1"/>
    <tableColumn id="2" xr3:uid="{1CE5DF54-36C5-4309-A802-2A5179BD1048}" uniqueName="2" name="업종별임금수준[분류]" queryTableFieldId="2"/>
    <tableColumn id="3" xr3:uid="{179749E7-5212-40D9-A79B-1FADC49677A2}" uniqueName="3" name="업종별임금수준[업무]" queryTableFieldId="3"/>
    <tableColumn id="4" xr3:uid="{F55DC5AC-B037-40DC-9AF8-B63B23A77DFC}" uniqueName="4" name="업종별임금수준[종사자수]" queryTableFieldId="4"/>
    <tableColumn id="5" xr3:uid="{860FFE07-2666-4906-911D-861B53AFF2F4}" uniqueName="5" name="업종별임금수준[월평균임금]" queryTableFieldId="5"/>
    <tableColumn id="6" xr3:uid="{DFC04B63-D76D-4DA4-A1CB-7AA0F2376FD4}" uniqueName="6" name="업종별임금수준[평균학력]" queryTableFieldId="6"/>
    <tableColumn id="7" xr3:uid="{29B2CC35-D686-44E8-A6E4-8D600F29A94B}" uniqueName="7" name="업종별임금수준[평균연령]" queryTableFieldId="7"/>
    <tableColumn id="8" xr3:uid="{133FB79D-A85F-4658-B6BB-7AFBB73EB036}" uniqueName="8" name="업종별임금수준[평균근속년수]" queryTableFieldId="8"/>
    <tableColumn id="9" xr3:uid="{A967AC4E-F7E4-4DB4-A094-47CA85F3E4CE}" uniqueName="9" name="업종별임금수준[평균경력]" queryTableFieldId="9"/>
    <tableColumn id="10" xr3:uid="{7349E6BA-9C34-496B-ACD9-D6C065E89314}" uniqueName="10" name="업종별임금수준[주당작업시간]" queryTableFieldId="10"/>
    <tableColumn id="11" xr3:uid="{2B4C7D25-7F1F-4611-988E-45B27A9B34EA}" uniqueName="11" name="업종별임금수준[여성비율]" queryTableFieldId="11"/>
    <tableColumn id="12" xr3:uid="{94DA0BAA-3FC9-4A3C-A861-FA3DA75C041E}" uniqueName="12" name="업종별임금수준[임금근로자수]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86250-CEA2-40C0-A88B-C2445034318F}">
  <dimension ref="A1:E2"/>
  <sheetViews>
    <sheetView workbookViewId="0">
      <selection sqref="A1:E2"/>
    </sheetView>
  </sheetViews>
  <sheetFormatPr defaultRowHeight="16.5" x14ac:dyDescent="0.3"/>
  <cols>
    <col min="1" max="1" width="11.25" bestFit="1" customWidth="1"/>
    <col min="2" max="2" width="11.125" bestFit="1" customWidth="1"/>
    <col min="3" max="3" width="9.375" bestFit="1" customWidth="1"/>
    <col min="4" max="5" width="13.25" bestFit="1" customWidth="1"/>
  </cols>
  <sheetData>
    <row r="1" spans="1:5" x14ac:dyDescent="0.3">
      <c r="A1" t="s">
        <v>4</v>
      </c>
      <c r="B1" t="s">
        <v>11</v>
      </c>
      <c r="C1" t="s">
        <v>9</v>
      </c>
      <c r="D1" t="s">
        <v>14</v>
      </c>
      <c r="E1" t="s">
        <v>15</v>
      </c>
    </row>
    <row r="2" spans="1:5" x14ac:dyDescent="0.3">
      <c r="A2" t="s">
        <v>16</v>
      </c>
      <c r="B2" s="5">
        <v>44989</v>
      </c>
      <c r="C2" t="s">
        <v>7</v>
      </c>
      <c r="D2">
        <v>150</v>
      </c>
      <c r="E2">
        <v>141900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90BC4-EAA5-4934-82F1-9B691A3B87BD}">
  <sheetPr codeName="Sheet2"/>
  <dimension ref="A1:D13"/>
  <sheetViews>
    <sheetView workbookViewId="0">
      <selection activeCell="C3" sqref="C3"/>
    </sheetView>
  </sheetViews>
  <sheetFormatPr defaultRowHeight="16.5" x14ac:dyDescent="0.3"/>
  <cols>
    <col min="1" max="1" width="11.875" bestFit="1" customWidth="1"/>
    <col min="2" max="2" width="14.375" bestFit="1" customWidth="1"/>
    <col min="3" max="4" width="16.875" bestFit="1" customWidth="1"/>
    <col min="5" max="6" width="17.375" bestFit="1" customWidth="1"/>
  </cols>
  <sheetData>
    <row r="1" spans="1:4" x14ac:dyDescent="0.3">
      <c r="A1" s="1" t="s">
        <v>4</v>
      </c>
      <c r="B1" t="s">
        <v>5</v>
      </c>
    </row>
    <row r="3" spans="1:4" x14ac:dyDescent="0.3">
      <c r="A3" s="1" t="s">
        <v>9</v>
      </c>
      <c r="B3" s="1" t="s">
        <v>10</v>
      </c>
      <c r="C3" t="s">
        <v>12</v>
      </c>
      <c r="D3" t="s">
        <v>13</v>
      </c>
    </row>
    <row r="4" spans="1:4" x14ac:dyDescent="0.3">
      <c r="A4" t="s">
        <v>6</v>
      </c>
      <c r="C4" s="4">
        <v>1.0555555555555556</v>
      </c>
      <c r="D4" s="4">
        <v>1.0217613888167245</v>
      </c>
    </row>
    <row r="5" spans="1:4" x14ac:dyDescent="0.3">
      <c r="B5" t="s">
        <v>1</v>
      </c>
      <c r="C5" s="4">
        <v>1.0555555555555556</v>
      </c>
      <c r="D5" s="4">
        <v>1.0217613888167245</v>
      </c>
    </row>
    <row r="6" spans="1:4" x14ac:dyDescent="0.3">
      <c r="A6" t="s">
        <v>7</v>
      </c>
      <c r="C6" s="4">
        <v>0.95781893004115215</v>
      </c>
      <c r="D6" s="4">
        <v>0.98350703730305489</v>
      </c>
    </row>
    <row r="7" spans="1:4" x14ac:dyDescent="0.3">
      <c r="B7" t="s">
        <v>1</v>
      </c>
      <c r="C7" s="4">
        <v>1.125925925925926</v>
      </c>
      <c r="D7" s="4">
        <v>1.1298317465653989</v>
      </c>
    </row>
    <row r="8" spans="1:4" x14ac:dyDescent="0.3">
      <c r="B8" t="s">
        <v>2</v>
      </c>
      <c r="C8" s="4">
        <v>0.86008230452674905</v>
      </c>
      <c r="D8" s="4">
        <v>0.8881494159777088</v>
      </c>
    </row>
    <row r="9" spans="1:4" x14ac:dyDescent="0.3">
      <c r="B9" t="s">
        <v>3</v>
      </c>
      <c r="C9" s="4">
        <v>0.70370370370370372</v>
      </c>
      <c r="D9" s="4">
        <v>0.8240292189434113</v>
      </c>
    </row>
    <row r="10" spans="1:4" x14ac:dyDescent="0.3">
      <c r="A10" t="s">
        <v>8</v>
      </c>
      <c r="C10" s="4">
        <v>1.0790123456790124</v>
      </c>
      <c r="D10" s="4">
        <v>1.0308785549459787</v>
      </c>
    </row>
    <row r="11" spans="1:4" x14ac:dyDescent="0.3">
      <c r="B11" t="s">
        <v>1</v>
      </c>
      <c r="C11" s="4">
        <v>1.094650205761317</v>
      </c>
      <c r="D11" s="4">
        <v>1.096189209978045</v>
      </c>
    </row>
    <row r="12" spans="1:4" x14ac:dyDescent="0.3">
      <c r="B12" t="s">
        <v>2</v>
      </c>
      <c r="C12" s="4">
        <v>1.0555555555555556</v>
      </c>
      <c r="D12" s="4">
        <v>0.93291257239787895</v>
      </c>
    </row>
    <row r="13" spans="1:4" x14ac:dyDescent="0.3">
      <c r="A13" t="s">
        <v>0</v>
      </c>
      <c r="C13" s="4">
        <v>1</v>
      </c>
      <c r="D13" s="4">
        <v>1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632CD-1AC7-40C4-91D3-C47DA1AC871F}">
  <sheetPr codeName="Sheet3"/>
  <dimension ref="A1:C13"/>
  <sheetViews>
    <sheetView workbookViewId="0">
      <selection activeCell="B6" sqref="B6"/>
    </sheetView>
  </sheetViews>
  <sheetFormatPr defaultRowHeight="16.5" x14ac:dyDescent="0.3"/>
  <cols>
    <col min="1" max="1" width="9" bestFit="1" customWidth="1"/>
    <col min="2" max="2" width="10.375" bestFit="1" customWidth="1"/>
    <col min="3" max="3" width="7" bestFit="1" customWidth="1"/>
  </cols>
  <sheetData>
    <row r="1" spans="1:3" x14ac:dyDescent="0.3">
      <c r="A1" s="1" t="s">
        <v>17</v>
      </c>
      <c r="B1" t="s" vm="1">
        <v>28</v>
      </c>
    </row>
    <row r="3" spans="1:3" x14ac:dyDescent="0.3">
      <c r="A3" s="1" t="s">
        <v>24</v>
      </c>
      <c r="B3" s="1" t="s">
        <v>25</v>
      </c>
    </row>
    <row r="4" spans="1:3" x14ac:dyDescent="0.3">
      <c r="A4" t="s">
        <v>18</v>
      </c>
      <c r="B4" t="s">
        <v>22</v>
      </c>
      <c r="C4" s="6">
        <v>84</v>
      </c>
    </row>
    <row r="5" spans="1:3" x14ac:dyDescent="0.3">
      <c r="B5" t="s">
        <v>23</v>
      </c>
      <c r="C5" s="6">
        <v>75</v>
      </c>
    </row>
    <row r="6" spans="1:3" x14ac:dyDescent="0.3">
      <c r="A6" t="s">
        <v>19</v>
      </c>
      <c r="B6" t="s">
        <v>22</v>
      </c>
      <c r="C6" s="6">
        <v>55</v>
      </c>
    </row>
    <row r="7" spans="1:3" x14ac:dyDescent="0.3">
      <c r="B7" t="s">
        <v>23</v>
      </c>
      <c r="C7" s="6">
        <v>67</v>
      </c>
    </row>
    <row r="8" spans="1:3" x14ac:dyDescent="0.3">
      <c r="A8" t="s">
        <v>20</v>
      </c>
      <c r="B8" t="s">
        <v>22</v>
      </c>
      <c r="C8" s="6">
        <v>79</v>
      </c>
    </row>
    <row r="9" spans="1:3" x14ac:dyDescent="0.3">
      <c r="B9" t="s">
        <v>23</v>
      </c>
      <c r="C9" s="6">
        <v>85</v>
      </c>
    </row>
    <row r="10" spans="1:3" x14ac:dyDescent="0.3">
      <c r="A10" t="s">
        <v>21</v>
      </c>
      <c r="B10" t="s">
        <v>22</v>
      </c>
      <c r="C10" s="6">
        <v>98</v>
      </c>
    </row>
    <row r="11" spans="1:3" x14ac:dyDescent="0.3">
      <c r="B11" t="s">
        <v>23</v>
      </c>
      <c r="C11" s="6">
        <v>84</v>
      </c>
    </row>
    <row r="12" spans="1:3" x14ac:dyDescent="0.3">
      <c r="A12" t="s">
        <v>26</v>
      </c>
      <c r="C12" s="6">
        <v>316</v>
      </c>
    </row>
    <row r="13" spans="1:3" x14ac:dyDescent="0.3">
      <c r="A13" t="s">
        <v>27</v>
      </c>
      <c r="C13" s="6">
        <v>311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764C0-F0AF-415D-BD2E-614E6F83DE43}">
  <sheetPr codeName="Sheet4"/>
  <dimension ref="A1:E8"/>
  <sheetViews>
    <sheetView workbookViewId="0">
      <selection activeCell="C3" sqref="C3"/>
    </sheetView>
  </sheetViews>
  <sheetFormatPr defaultRowHeight="16.5" x14ac:dyDescent="0.3"/>
  <cols>
    <col min="1" max="1" width="15.375" bestFit="1" customWidth="1"/>
    <col min="2" max="2" width="11.25" bestFit="1" customWidth="1"/>
    <col min="3" max="3" width="15.25" bestFit="1" customWidth="1"/>
    <col min="4" max="4" width="11.125" bestFit="1" customWidth="1"/>
    <col min="5" max="5" width="13.125" bestFit="1" customWidth="1"/>
  </cols>
  <sheetData>
    <row r="1" spans="1:5" x14ac:dyDescent="0.3">
      <c r="A1" s="1" t="s">
        <v>29</v>
      </c>
      <c r="B1" t="s">
        <v>5</v>
      </c>
    </row>
    <row r="3" spans="1:5" x14ac:dyDescent="0.3">
      <c r="A3" s="1" t="s">
        <v>34</v>
      </c>
      <c r="B3" s="1" t="s">
        <v>32</v>
      </c>
      <c r="C3" t="s">
        <v>31</v>
      </c>
      <c r="D3" t="s">
        <v>30</v>
      </c>
      <c r="E3" t="s">
        <v>33</v>
      </c>
    </row>
    <row r="4" spans="1:5" x14ac:dyDescent="0.3">
      <c r="A4" t="s">
        <v>38</v>
      </c>
      <c r="C4" s="7">
        <v>16000000</v>
      </c>
      <c r="D4" s="2">
        <v>264</v>
      </c>
      <c r="E4" s="7">
        <v>66666.666666666672</v>
      </c>
    </row>
    <row r="5" spans="1:5" x14ac:dyDescent="0.3">
      <c r="A5" t="s">
        <v>36</v>
      </c>
      <c r="C5" s="7">
        <v>55000000</v>
      </c>
      <c r="D5" s="2">
        <v>222</v>
      </c>
      <c r="E5" s="7">
        <v>229166.66666666666</v>
      </c>
    </row>
    <row r="6" spans="1:5" x14ac:dyDescent="0.3">
      <c r="A6" t="s">
        <v>35</v>
      </c>
      <c r="C6" s="7">
        <v>119000000</v>
      </c>
      <c r="D6" s="2">
        <v>282</v>
      </c>
      <c r="E6" s="7">
        <v>495833.33333333331</v>
      </c>
    </row>
    <row r="7" spans="1:5" x14ac:dyDescent="0.3">
      <c r="A7" t="s">
        <v>37</v>
      </c>
      <c r="C7" s="7">
        <v>41000000</v>
      </c>
      <c r="D7" s="2">
        <v>246</v>
      </c>
      <c r="E7" s="7">
        <v>170833.33333333334</v>
      </c>
    </row>
    <row r="8" spans="1:5" x14ac:dyDescent="0.3">
      <c r="A8" t="s">
        <v>0</v>
      </c>
      <c r="C8" s="7">
        <v>231000000</v>
      </c>
      <c r="D8" s="2">
        <v>1014</v>
      </c>
      <c r="E8" s="7">
        <v>962500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4229F-D677-4F24-8B6D-7C7A292B1C02}">
  <dimension ref="A1:L5"/>
  <sheetViews>
    <sheetView workbookViewId="0"/>
  </sheetViews>
  <sheetFormatPr defaultRowHeight="16.5" x14ac:dyDescent="0.3"/>
  <cols>
    <col min="1" max="1" width="21" bestFit="1" customWidth="1"/>
    <col min="2" max="3" width="22.875" bestFit="1" customWidth="1"/>
    <col min="4" max="4" width="27.125" bestFit="1" customWidth="1"/>
    <col min="5" max="5" width="29.125" bestFit="1" customWidth="1"/>
    <col min="6" max="7" width="27.125" bestFit="1" customWidth="1"/>
    <col min="8" max="8" width="31.25" bestFit="1" customWidth="1"/>
    <col min="9" max="9" width="27.125" bestFit="1" customWidth="1"/>
    <col min="10" max="10" width="31.25" bestFit="1" customWidth="1"/>
    <col min="11" max="11" width="27.125" bestFit="1" customWidth="1"/>
    <col min="12" max="12" width="31.25" bestFit="1" customWidth="1"/>
  </cols>
  <sheetData>
    <row r="1" spans="1:12" x14ac:dyDescent="0.3">
      <c r="A1" s="3" t="s">
        <v>69</v>
      </c>
    </row>
    <row r="3" spans="1:12" x14ac:dyDescent="0.3">
      <c r="A3" t="s">
        <v>57</v>
      </c>
      <c r="B3" t="s">
        <v>58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  <c r="K3" t="s">
        <v>67</v>
      </c>
      <c r="L3" t="s">
        <v>68</v>
      </c>
    </row>
    <row r="4" spans="1:12" x14ac:dyDescent="0.3">
      <c r="A4">
        <v>3</v>
      </c>
      <c r="B4" t="s">
        <v>43</v>
      </c>
      <c r="C4" t="s">
        <v>39</v>
      </c>
      <c r="D4">
        <v>8130</v>
      </c>
      <c r="E4">
        <v>261</v>
      </c>
      <c r="F4">
        <v>15.4</v>
      </c>
      <c r="G4">
        <v>33.6</v>
      </c>
      <c r="H4">
        <v>4.4000000000000004</v>
      </c>
      <c r="I4">
        <v>6.5</v>
      </c>
      <c r="J4">
        <v>55.3</v>
      </c>
      <c r="K4">
        <v>12.8</v>
      </c>
      <c r="L4">
        <v>95</v>
      </c>
    </row>
    <row r="5" spans="1:12" x14ac:dyDescent="0.3">
      <c r="A5">
        <v>19</v>
      </c>
      <c r="B5" t="s">
        <v>43</v>
      </c>
      <c r="C5" t="s">
        <v>39</v>
      </c>
      <c r="D5">
        <v>1250</v>
      </c>
      <c r="E5">
        <v>225</v>
      </c>
      <c r="F5">
        <v>12.4</v>
      </c>
      <c r="G5">
        <v>35</v>
      </c>
      <c r="H5">
        <v>5.2</v>
      </c>
      <c r="I5">
        <v>5.5</v>
      </c>
      <c r="J5">
        <v>55</v>
      </c>
      <c r="K5">
        <v>12.3</v>
      </c>
      <c r="L5">
        <v>33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1523A-7333-4E13-B516-65220566B29C}">
  <dimension ref="A1:L3"/>
  <sheetViews>
    <sheetView tabSelected="1" workbookViewId="0">
      <selection sqref="A1:L3"/>
    </sheetView>
  </sheetViews>
  <sheetFormatPr defaultRowHeight="16.5" x14ac:dyDescent="0.3"/>
  <cols>
    <col min="1" max="1" width="21" bestFit="1" customWidth="1"/>
    <col min="2" max="3" width="22.875" bestFit="1" customWidth="1"/>
    <col min="4" max="4" width="27.125" bestFit="1" customWidth="1"/>
    <col min="5" max="5" width="29.125" bestFit="1" customWidth="1"/>
    <col min="6" max="7" width="27.125" bestFit="1" customWidth="1"/>
    <col min="8" max="8" width="31.25" bestFit="1" customWidth="1"/>
    <col min="9" max="9" width="27.125" bestFit="1" customWidth="1"/>
    <col min="10" max="10" width="31.25" bestFit="1" customWidth="1"/>
    <col min="11" max="11" width="27.125" bestFit="1" customWidth="1"/>
    <col min="12" max="12" width="31.25" bestFit="1" customWidth="1"/>
  </cols>
  <sheetData>
    <row r="1" spans="1:12" x14ac:dyDescent="0.3">
      <c r="A1" t="s">
        <v>57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</row>
    <row r="2" spans="1:12" x14ac:dyDescent="0.3">
      <c r="A2">
        <v>3</v>
      </c>
      <c r="B2" t="s">
        <v>43</v>
      </c>
      <c r="C2" t="s">
        <v>39</v>
      </c>
      <c r="D2">
        <v>8130</v>
      </c>
      <c r="E2">
        <v>261</v>
      </c>
      <c r="F2">
        <v>15.4</v>
      </c>
      <c r="G2">
        <v>33.6</v>
      </c>
      <c r="H2">
        <v>4.4000000000000004</v>
      </c>
      <c r="I2">
        <v>6.5</v>
      </c>
      <c r="J2">
        <v>55.3</v>
      </c>
      <c r="K2">
        <v>12.8</v>
      </c>
      <c r="L2">
        <v>95</v>
      </c>
    </row>
    <row r="3" spans="1:12" x14ac:dyDescent="0.3">
      <c r="A3">
        <v>19</v>
      </c>
      <c r="B3" t="s">
        <v>43</v>
      </c>
      <c r="C3" t="s">
        <v>39</v>
      </c>
      <c r="D3">
        <v>1250</v>
      </c>
      <c r="E3">
        <v>225</v>
      </c>
      <c r="F3">
        <v>12.4</v>
      </c>
      <c r="G3">
        <v>35</v>
      </c>
      <c r="H3">
        <v>5.2</v>
      </c>
      <c r="I3">
        <v>5.5</v>
      </c>
      <c r="J3">
        <v>55</v>
      </c>
      <c r="K3">
        <v>12.3</v>
      </c>
      <c r="L3">
        <v>33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31E0D-DE0E-4E8B-ABA6-D5336FAA042C}">
  <sheetPr codeName="Sheet6"/>
  <dimension ref="A3:D24"/>
  <sheetViews>
    <sheetView workbookViewId="0">
      <selection activeCell="C7" sqref="C7"/>
    </sheetView>
  </sheetViews>
  <sheetFormatPr defaultRowHeight="16.5" x14ac:dyDescent="0.3"/>
  <cols>
    <col min="1" max="1" width="20.625" bestFit="1" customWidth="1"/>
    <col min="2" max="2" width="16.125" bestFit="1" customWidth="1"/>
    <col min="3" max="3" width="14.5" bestFit="1" customWidth="1"/>
    <col min="4" max="4" width="16.625" bestFit="1" customWidth="1"/>
  </cols>
  <sheetData>
    <row r="3" spans="1:4" x14ac:dyDescent="0.3">
      <c r="A3" s="1" t="s">
        <v>70</v>
      </c>
      <c r="B3" s="1" t="s">
        <v>71</v>
      </c>
      <c r="C3" t="s">
        <v>74</v>
      </c>
      <c r="D3" t="s">
        <v>75</v>
      </c>
    </row>
    <row r="4" spans="1:4" x14ac:dyDescent="0.3">
      <c r="A4" t="s">
        <v>39</v>
      </c>
      <c r="C4" s="8"/>
      <c r="D4" s="8"/>
    </row>
    <row r="5" spans="1:4" x14ac:dyDescent="0.3">
      <c r="B5" t="s">
        <v>41</v>
      </c>
      <c r="C5" s="8">
        <v>21146</v>
      </c>
      <c r="D5" s="8">
        <v>124</v>
      </c>
    </row>
    <row r="6" spans="1:4" x14ac:dyDescent="0.3">
      <c r="B6" t="s">
        <v>42</v>
      </c>
      <c r="C6" s="8">
        <v>2258</v>
      </c>
      <c r="D6" s="8">
        <v>183.9</v>
      </c>
    </row>
    <row r="7" spans="1:4" x14ac:dyDescent="0.3">
      <c r="B7" t="s">
        <v>43</v>
      </c>
      <c r="C7" s="8">
        <v>4690</v>
      </c>
      <c r="D7" s="8">
        <v>243</v>
      </c>
    </row>
    <row r="8" spans="1:4" x14ac:dyDescent="0.3">
      <c r="B8" t="s">
        <v>44</v>
      </c>
      <c r="C8" s="8">
        <v>15887</v>
      </c>
      <c r="D8" s="8">
        <v>169.2</v>
      </c>
    </row>
    <row r="9" spans="1:4" x14ac:dyDescent="0.3">
      <c r="B9" t="s">
        <v>45</v>
      </c>
      <c r="C9" s="8">
        <v>114054</v>
      </c>
      <c r="D9" s="8">
        <v>225</v>
      </c>
    </row>
    <row r="10" spans="1:4" x14ac:dyDescent="0.3">
      <c r="B10" t="s">
        <v>46</v>
      </c>
      <c r="C10" s="8">
        <v>31080</v>
      </c>
      <c r="D10" s="8">
        <v>279.8</v>
      </c>
    </row>
    <row r="11" spans="1:4" x14ac:dyDescent="0.3">
      <c r="B11" t="s">
        <v>47</v>
      </c>
      <c r="C11" s="8">
        <v>21786</v>
      </c>
      <c r="D11" s="8">
        <v>189.4</v>
      </c>
    </row>
    <row r="12" spans="1:4" x14ac:dyDescent="0.3">
      <c r="A12" t="s">
        <v>72</v>
      </c>
      <c r="C12" s="8">
        <v>26948.875</v>
      </c>
      <c r="D12" s="8">
        <v>207.16249999999999</v>
      </c>
    </row>
    <row r="13" spans="1:4" x14ac:dyDescent="0.3">
      <c r="A13" t="s">
        <v>40</v>
      </c>
      <c r="C13" s="8"/>
      <c r="D13" s="8"/>
    </row>
    <row r="14" spans="1:4" x14ac:dyDescent="0.3">
      <c r="B14" t="s">
        <v>48</v>
      </c>
      <c r="C14" s="8">
        <v>14195</v>
      </c>
      <c r="D14" s="8">
        <v>313.7</v>
      </c>
    </row>
    <row r="15" spans="1:4" x14ac:dyDescent="0.3">
      <c r="B15" t="s">
        <v>49</v>
      </c>
      <c r="C15" s="8">
        <v>3168</v>
      </c>
      <c r="D15" s="8">
        <v>233.7</v>
      </c>
    </row>
    <row r="16" spans="1:4" x14ac:dyDescent="0.3">
      <c r="B16" t="s">
        <v>50</v>
      </c>
      <c r="C16" s="8">
        <v>37802</v>
      </c>
      <c r="D16" s="8">
        <v>153.9</v>
      </c>
    </row>
    <row r="17" spans="1:4" x14ac:dyDescent="0.3">
      <c r="B17" t="s">
        <v>51</v>
      </c>
      <c r="C17" s="8">
        <v>76947</v>
      </c>
      <c r="D17" s="8">
        <v>204.3</v>
      </c>
    </row>
    <row r="18" spans="1:4" x14ac:dyDescent="0.3">
      <c r="B18" t="s">
        <v>52</v>
      </c>
      <c r="C18" s="8">
        <v>5797</v>
      </c>
      <c r="D18" s="8">
        <v>258.7</v>
      </c>
    </row>
    <row r="19" spans="1:4" x14ac:dyDescent="0.3">
      <c r="B19" t="s">
        <v>53</v>
      </c>
      <c r="C19" s="8">
        <v>4829</v>
      </c>
      <c r="D19" s="8">
        <v>347.1</v>
      </c>
    </row>
    <row r="20" spans="1:4" x14ac:dyDescent="0.3">
      <c r="B20" t="s">
        <v>54</v>
      </c>
      <c r="C20" s="8">
        <v>9470</v>
      </c>
      <c r="D20" s="8">
        <v>156.69999999999999</v>
      </c>
    </row>
    <row r="21" spans="1:4" x14ac:dyDescent="0.3">
      <c r="B21" t="s">
        <v>55</v>
      </c>
      <c r="C21" s="8">
        <v>32931</v>
      </c>
      <c r="D21" s="8">
        <v>154.4</v>
      </c>
    </row>
    <row r="22" spans="1:4" x14ac:dyDescent="0.3">
      <c r="B22" t="s">
        <v>56</v>
      </c>
      <c r="C22" s="8">
        <v>21222</v>
      </c>
      <c r="D22" s="8">
        <v>351.3</v>
      </c>
    </row>
    <row r="23" spans="1:4" x14ac:dyDescent="0.3">
      <c r="A23" t="s">
        <v>73</v>
      </c>
      <c r="C23" s="8">
        <v>22929</v>
      </c>
      <c r="D23" s="8">
        <v>241.53333333333336</v>
      </c>
    </row>
    <row r="24" spans="1:4" x14ac:dyDescent="0.3">
      <c r="A24" t="s">
        <v>0</v>
      </c>
      <c r="C24" s="8">
        <v>24820.705882352941</v>
      </c>
      <c r="D24" s="8">
        <v>225.35882352941175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2CD54F7-A54C-4DAE-859F-66C811E5E2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3월가공현황</vt:lpstr>
      <vt:lpstr>무작정따라하기</vt:lpstr>
      <vt:lpstr>기출01</vt:lpstr>
      <vt:lpstr>기출02</vt:lpstr>
      <vt:lpstr>Sheet1</vt:lpstr>
      <vt:lpstr>시스템SW</vt:lpstr>
      <vt:lpstr>기출03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SunHo Song</cp:lastModifiedBy>
  <dcterms:created xsi:type="dcterms:W3CDTF">2023-05-11T10:31:28Z</dcterms:created>
  <dcterms:modified xsi:type="dcterms:W3CDTF">2024-12-05T19:06:37Z</dcterms:modified>
</cp:coreProperties>
</file>