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B906E584-33B5-4C89-BD5A-D5B960CCC117}" xr6:coauthVersionLast="47" xr6:coauthVersionMax="47" xr10:uidLastSave="{00000000-0000-0000-0000-000000000000}"/>
  <bookViews>
    <workbookView xWindow="-120" yWindow="-120" windowWidth="29040" windowHeight="15840" xr2:uid="{431D3BD7-A9B8-49B7-9873-84EEFD35205F}"/>
  </bookViews>
  <sheets>
    <sheet name="시나리오 요약" sheetId="4" r:id="rId1"/>
    <sheet name="무작정따라하기" sheetId="1" r:id="rId2"/>
    <sheet name="시나리오 요약 2" sheetId="5" r:id="rId3"/>
    <sheet name="기출01" sheetId="2" r:id="rId4"/>
    <sheet name="시나리오 요약 3" sheetId="6" r:id="rId5"/>
    <sheet name="기출02" sheetId="3" r:id="rId6"/>
  </sheets>
  <definedNames>
    <definedName name="A반품수량">무작정따라하기!$E$5</definedName>
    <definedName name="B반품수량">무작정따라하기!$E$6</definedName>
    <definedName name="C반품수량">무작정따라하기!$E$7</definedName>
    <definedName name="만기금액">기출01!$C$7</definedName>
    <definedName name="매출액합계">무작정따라하기!$H$15</definedName>
    <definedName name="이율">기출01!$C$5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3" l="1"/>
  <c r="B8" i="3" s="1"/>
  <c r="B9" i="3" s="1"/>
  <c r="C7" i="2"/>
  <c r="F5" i="1"/>
  <c r="H5" i="1"/>
  <c r="G5" i="1" s="1"/>
  <c r="F6" i="1"/>
  <c r="H6" i="1" s="1"/>
  <c r="G6" i="1" s="1"/>
  <c r="F7" i="1"/>
  <c r="H7" i="1"/>
  <c r="G7" i="1" s="1"/>
  <c r="F8" i="1"/>
  <c r="H8" i="1"/>
  <c r="G8" i="1" s="1"/>
  <c r="F9" i="1"/>
  <c r="H9" i="1" s="1"/>
  <c r="G9" i="1" s="1"/>
  <c r="F10" i="1"/>
  <c r="H10" i="1"/>
  <c r="G10" i="1" s="1"/>
  <c r="F11" i="1"/>
  <c r="H11" i="1" s="1"/>
  <c r="G11" i="1" s="1"/>
  <c r="F12" i="1"/>
  <c r="H12" i="1"/>
  <c r="G12" i="1" s="1"/>
  <c r="F13" i="1"/>
  <c r="H13" i="1"/>
  <c r="G13" i="1" s="1"/>
  <c r="F14" i="1"/>
  <c r="H14" i="1" s="1"/>
  <c r="G14" i="1" s="1"/>
  <c r="H15" i="1" l="1"/>
</calcChain>
</file>

<file path=xl/sharedStrings.xml><?xml version="1.0" encoding="utf-8"?>
<sst xmlns="http://schemas.openxmlformats.org/spreadsheetml/2006/main" count="69" uniqueCount="52">
  <si>
    <t>번호</t>
  </si>
  <si>
    <t>물품명</t>
  </si>
  <si>
    <t>단가</t>
  </si>
  <si>
    <t>매출수량</t>
  </si>
  <si>
    <t>반품수량</t>
  </si>
  <si>
    <t>매출액</t>
  </si>
  <si>
    <t>수익율</t>
  </si>
  <si>
    <t>순수매출액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</si>
  <si>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</si>
  <si>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</si>
  <si>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</si>
  <si>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</si>
  <si>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</si>
  <si>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</si>
  <si>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</si>
  <si>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</si>
  <si>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</si>
  <si>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</si>
  <si>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매출액합계</t>
  </si>
  <si>
    <t xml:space="preserve">적금 만기 금액 </t>
  </si>
  <si>
    <t>매월적립액</t>
  </si>
  <si>
    <t>연이율</t>
  </si>
  <si>
    <t>적립기간(년)</t>
  </si>
  <si>
    <t>만기금액</t>
  </si>
  <si>
    <t>이익률 계산</t>
  </si>
  <si>
    <t>항목</t>
  </si>
  <si>
    <t>금액</t>
  </si>
  <si>
    <t>버스요금</t>
  </si>
  <si>
    <t>이용고객</t>
  </si>
  <si>
    <t>제조원가</t>
  </si>
  <si>
    <t>영업이익</t>
  </si>
  <si>
    <t>영업이익률</t>
  </si>
  <si>
    <t>A반품수량</t>
  </si>
  <si>
    <t>B반품수량</t>
  </si>
  <si>
    <t>C반품수량</t>
  </si>
  <si>
    <t>수익률의 증가</t>
  </si>
  <si>
    <t>수익률의 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</si>
  <si>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</si>
  <si>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</si>
  <si>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</si>
  <si>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</si>
  <si>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</si>
  <si>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</si>
  <si>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</si>
  <si>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이율</t>
  </si>
  <si>
    <t>이율10%</t>
  </si>
  <si>
    <t>이율11.5%</t>
  </si>
  <si>
    <t>$B$4</t>
  </si>
  <si>
    <t>$B$8</t>
  </si>
  <si>
    <t>$B$9</t>
  </si>
  <si>
    <t>200원인하</t>
  </si>
  <si>
    <t>200원인상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</si>
</sst>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_ "/>
    <numFmt numFmtId="177" formatCode="&quot;₩&quot;#,##0"/>
    <numFmt numFmtId="178" formatCode="0.0%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rgb="FFA500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1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41" fontId="4" fillId="0" borderId="2" xfId="1" applyFont="1" applyBorder="1">
      <alignment vertical="center"/>
    </xf>
    <xf numFmtId="176" fontId="4" fillId="0" borderId="2" xfId="0" applyNumberFormat="1" applyFont="1" applyBorder="1">
      <alignment vertical="center"/>
    </xf>
    <xf numFmtId="9" fontId="4" fillId="0" borderId="2" xfId="2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41" fontId="4" fillId="0" borderId="3" xfId="1" applyFont="1" applyBorder="1">
      <alignment vertical="center"/>
    </xf>
    <xf numFmtId="176" fontId="4" fillId="0" borderId="3" xfId="0" applyNumberFormat="1" applyFont="1" applyBorder="1">
      <alignment vertical="center"/>
    </xf>
    <xf numFmtId="9" fontId="4" fillId="0" borderId="3" xfId="2" applyFont="1" applyBorder="1" applyAlignment="1">
      <alignment horizontal="center" vertical="center"/>
    </xf>
    <xf numFmtId="9" fontId="4" fillId="0" borderId="4" xfId="2" applyFont="1" applyBorder="1" applyAlignment="1">
      <alignment horizontal="center" vertical="center"/>
    </xf>
    <xf numFmtId="41" fontId="4" fillId="0" borderId="4" xfId="1" applyFont="1" applyBorder="1">
      <alignment vertical="center"/>
    </xf>
    <xf numFmtId="0" fontId="0" fillId="3" borderId="5" xfId="0" applyFill="1" applyBorder="1" applyAlignment="1">
      <alignment horizontal="center" vertical="center"/>
    </xf>
    <xf numFmtId="41" fontId="0" fillId="3" borderId="6" xfId="1" applyFont="1" applyFill="1" applyBorder="1">
      <alignment vertical="center"/>
    </xf>
    <xf numFmtId="0" fontId="0" fillId="4" borderId="3" xfId="0" applyFill="1" applyBorder="1">
      <alignment vertical="center"/>
    </xf>
    <xf numFmtId="177" fontId="0" fillId="0" borderId="3" xfId="0" applyNumberFormat="1" applyBorder="1">
      <alignment vertical="center"/>
    </xf>
    <xf numFmtId="10" fontId="0" fillId="0" borderId="3" xfId="2" applyNumberFormat="1" applyFont="1" applyBorder="1">
      <alignment vertical="center"/>
    </xf>
    <xf numFmtId="0" fontId="0" fillId="0" borderId="3" xfId="0" applyBorder="1">
      <alignment vertical="center"/>
    </xf>
    <xf numFmtId="0" fontId="0" fillId="3" borderId="3" xfId="0" applyFill="1" applyBorder="1" applyAlignment="1">
      <alignment horizontal="center" vertical="center"/>
    </xf>
    <xf numFmtId="0" fontId="0" fillId="0" borderId="3" xfId="0" applyBorder="1" applyAlignment="1">
      <alignment horizontal="distributed" vertical="center"/>
    </xf>
    <xf numFmtId="41" fontId="0" fillId="0" borderId="3" xfId="1" applyFont="1" applyBorder="1">
      <alignment vertical="center"/>
    </xf>
    <xf numFmtId="178" fontId="0" fillId="0" borderId="3" xfId="2" applyNumberFormat="1" applyFont="1" applyBorder="1">
      <alignment vertical="center"/>
    </xf>
    <xf numFmtId="176" fontId="0" fillId="0" borderId="0" xfId="0" applyNumberFormat="1">
      <alignment vertical="center"/>
    </xf>
    <xf numFmtId="41" fontId="0" fillId="0" borderId="8" xfId="0" applyNumberFormat="1" applyBorder="1">
      <alignment vertical="center"/>
    </xf>
    <xf numFmtId="0" fontId="7" fillId="6" borderId="9" xfId="0" applyFont="1" applyFill="1" applyBorder="1" applyAlignment="1">
      <alignment horizontal="left" vertical="center"/>
    </xf>
    <xf numFmtId="0" fontId="6" fillId="6" borderId="7" xfId="0" applyFont="1" applyFill="1" applyBorder="1" applyAlignment="1">
      <alignment horizontal="left" vertical="center"/>
    </xf>
    <xf numFmtId="0" fontId="7" fillId="6" borderId="7" xfId="0" applyFont="1" applyFill="1" applyBorder="1" applyAlignment="1">
      <alignment horizontal="left" vertical="center"/>
    </xf>
    <xf numFmtId="0" fontId="0" fillId="0" borderId="10" xfId="0" applyBorder="1">
      <alignment vertical="center"/>
    </xf>
    <xf numFmtId="0" fontId="8" fillId="7" borderId="0" xfId="0" applyFont="1" applyFill="1" applyAlignment="1">
      <alignment horizontal="left" vertical="center"/>
    </xf>
    <xf numFmtId="0" fontId="9" fillId="7" borderId="10" xfId="0" applyFont="1" applyFill="1" applyBorder="1" applyAlignment="1">
      <alignment horizontal="left" vertical="center"/>
    </xf>
    <xf numFmtId="0" fontId="10" fillId="7" borderId="10" xfId="0" applyFont="1" applyFill="1" applyBorder="1" applyAlignment="1">
      <alignment horizontal="left" vertical="center"/>
    </xf>
    <xf numFmtId="0" fontId="8" fillId="7" borderId="8" xfId="0" applyFont="1" applyFill="1" applyBorder="1" applyAlignment="1">
      <alignment horizontal="left" vertical="center"/>
    </xf>
    <xf numFmtId="0" fontId="6" fillId="6" borderId="7" xfId="0" applyFont="1" applyFill="1" applyBorder="1" applyAlignment="1">
      <alignment horizontal="right" vertical="center"/>
    </xf>
    <xf numFmtId="0" fontId="6" fillId="6" borderId="9" xfId="0" applyFont="1" applyFill="1" applyBorder="1" applyAlignment="1">
      <alignment horizontal="right" vertical="center"/>
    </xf>
    <xf numFmtId="176" fontId="0" fillId="8" borderId="0" xfId="0" applyNumberFormat="1" applyFill="1">
      <alignment vertical="center"/>
    </xf>
    <xf numFmtId="0" fontId="11" fillId="0" borderId="0" xfId="0" applyFont="1" applyAlignment="1">
      <alignment vertical="top" wrapText="1"/>
    </xf>
    <xf numFmtId="10" fontId="0" fillId="0" borderId="0" xfId="0" applyNumberFormat="1">
      <alignment vertical="center"/>
    </xf>
    <xf numFmtId="177" fontId="0" fillId="0" borderId="8" xfId="0" applyNumberFormat="1" applyBorder="1">
      <alignment vertical="center"/>
    </xf>
    <xf numFmtId="10" fontId="0" fillId="8" borderId="0" xfId="0" applyNumberFormat="1" applyFill="1">
      <alignment vertical="center"/>
    </xf>
    <xf numFmtId="41" fontId="0" fillId="0" borderId="0" xfId="0" applyNumberFormat="1">
      <alignment vertical="center"/>
    </xf>
    <xf numFmtId="178" fontId="0" fillId="0" borderId="8" xfId="0" applyNumberFormat="1" applyBorder="1">
      <alignment vertical="center"/>
    </xf>
    <xf numFmtId="41" fontId="0" fillId="8" borderId="0" xfId="0" applyNumberFormat="1" applyFill="1">
      <alignment vertical="center"/>
    </xf>
    <xf numFmtId="0" fontId="0" fillId="4" borderId="3" xfId="0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457200</xdr:colOff>
      <xdr:row>0</xdr:row>
      <xdr:rowOff>152400</xdr:rowOff>
    </xdr:from>
    <xdr:to>
      <xdr:col>6</xdr:col>
      <xdr:colOff>76200</xdr:colOff>
      <xdr:row>2</xdr:row>
      <xdr:rowOff>44450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7F7D9585-DE01-5971-BFF7-0D355F039A83}"/>
            </a:ext>
          </a:extLst>
        </xdr:cNvPr>
        <xdr:cNvSpPr/>
      </xdr:nvSpPr>
      <xdr:spPr>
        <a:xfrm>
          <a:off x="1778000" y="152400"/>
          <a:ext cx="2520950" cy="32385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연  간 매 출 액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B7E73-0C6C-4C5A-A1CC-00C08905A486}">
  <sheetPr>
    <outlinePr summaryBelow="0"/>
  </sheetPr>
  <dimension ref="B1:F13"/>
  <sheetViews>
    <sheetView showGridLines="0" tabSelected="1" workbookViewId="0"/>
  </sheetViews>
  <sheetFormatPr defaultRowHeight="16.5" outlineLevelRow="1" outlineLevelCol="1" x14ac:dyDescent="0.3"/>
  <cols>
    <col min="3" max="3" width="11" bestFit="1" customWidth="1"/>
    <col min="4" max="6" width="13.75" bestFit="1" customWidth="1" outlineLevel="1"/>
  </cols>
  <sheetData>
    <row r="1" spans="2:6" ht="17.25" thickBot="1" x14ac:dyDescent="0.35"/>
    <row r="2" spans="2:6" x14ac:dyDescent="0.3">
      <c r="B2" s="25" t="s">
        <v>37</v>
      </c>
      <c r="C2" s="26"/>
      <c r="D2" s="32"/>
      <c r="E2" s="32"/>
      <c r="F2" s="32"/>
    </row>
    <row r="3" spans="2:6" collapsed="1" x14ac:dyDescent="0.3">
      <c r="B3" s="24"/>
      <c r="C3" s="24"/>
      <c r="D3" s="33" t="s">
        <v>39</v>
      </c>
      <c r="E3" s="33" t="s">
        <v>35</v>
      </c>
      <c r="F3" s="33" t="s">
        <v>36</v>
      </c>
    </row>
    <row r="4" spans="2:6" hidden="1" outlineLevel="1" x14ac:dyDescent="0.3">
      <c r="B4" s="28"/>
      <c r="C4" s="28"/>
      <c r="E4" s="35"/>
      <c r="F4" s="35"/>
    </row>
    <row r="5" spans="2:6" x14ac:dyDescent="0.3">
      <c r="B5" s="29" t="s">
        <v>38</v>
      </c>
      <c r="C5" s="30"/>
      <c r="D5" s="27"/>
      <c r="E5" s="27"/>
      <c r="F5" s="27"/>
    </row>
    <row r="6" spans="2:6" outlineLevel="1" x14ac:dyDescent="0.3">
      <c r="B6" s="28"/>
      <c r="C6" s="28" t="s">
        <v>32</v>
      </c>
      <c r="D6" s="22">
        <v>19</v>
      </c>
      <c r="E6" s="34">
        <v>9</v>
      </c>
      <c r="F6" s="34">
        <v>29</v>
      </c>
    </row>
    <row r="7" spans="2:6" outlineLevel="1" x14ac:dyDescent="0.3">
      <c r="B7" s="28"/>
      <c r="C7" s="28" t="s">
        <v>33</v>
      </c>
      <c r="D7" s="22">
        <v>31</v>
      </c>
      <c r="E7" s="34">
        <v>21</v>
      </c>
      <c r="F7" s="34">
        <v>41</v>
      </c>
    </row>
    <row r="8" spans="2:6" outlineLevel="1" x14ac:dyDescent="0.3">
      <c r="B8" s="28"/>
      <c r="C8" s="28" t="s">
        <v>34</v>
      </c>
      <c r="D8" s="22">
        <v>22</v>
      </c>
      <c r="E8" s="34">
        <v>12</v>
      </c>
      <c r="F8" s="34">
        <v>32</v>
      </c>
    </row>
    <row r="9" spans="2:6" x14ac:dyDescent="0.3">
      <c r="B9" s="29" t="s">
        <v>40</v>
      </c>
      <c r="C9" s="30"/>
      <c r="D9" s="27"/>
      <c r="E9" s="27"/>
      <c r="F9" s="27"/>
    </row>
    <row r="10" spans="2:6" ht="17.25" outlineLevel="1" thickBot="1" x14ac:dyDescent="0.35">
      <c r="B10" s="31"/>
      <c r="C10" s="31" t="s">
        <v>18</v>
      </c>
      <c r="D10" s="23">
        <v>6693900</v>
      </c>
      <c r="E10" s="23">
        <v>6796900</v>
      </c>
      <c r="F10" s="23">
        <v>6590900</v>
      </c>
    </row>
    <row r="11" spans="2:6" x14ac:dyDescent="0.3">
      <c r="B11" t="s">
        <v>41</v>
      </c>
    </row>
    <row r="12" spans="2:6" x14ac:dyDescent="0.3">
      <c r="B12" t="s">
        <v>42</v>
      </c>
    </row>
    <row r="13" spans="2:6" x14ac:dyDescent="0.3">
      <c r="B13" t="s">
        <v>43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970D1-40F7-4E27-BA0A-B8B61698EFA6}">
  <dimension ref="A3:H15"/>
  <sheetViews>
    <sheetView workbookViewId="0"/>
  </sheetViews>
  <sheetFormatPr defaultRowHeight="16.5" x14ac:dyDescent="0.3"/>
  <cols>
    <col min="3" max="5" width="9.125" bestFit="1" customWidth="1"/>
    <col min="6" max="6" width="10.875" bestFit="1" customWidth="1"/>
    <col min="7" max="8" width="11" bestFit="1" customWidth="1"/>
  </cols>
  <sheetData>
    <row r="3" spans="1:8" ht="17.25" thickBot="1" x14ac:dyDescent="0.35"/>
    <row r="4" spans="1:8" ht="18" thickTop="1" thickBot="1" x14ac:dyDescent="0.35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</row>
    <row r="5" spans="1:8" ht="17.25" thickTop="1" x14ac:dyDescent="0.3">
      <c r="A5" s="2">
        <v>2657</v>
      </c>
      <c r="B5" s="2" t="s">
        <v>8</v>
      </c>
      <c r="C5" s="3">
        <v>2600</v>
      </c>
      <c r="D5" s="4">
        <v>240</v>
      </c>
      <c r="E5" s="4">
        <v>19</v>
      </c>
      <c r="F5" s="3">
        <f t="shared" ref="F5:F14" si="0">C5*D5</f>
        <v>624000</v>
      </c>
      <c r="G5" s="5">
        <f t="shared" ref="G5:G14" si="1">H5/F5</f>
        <v>0.92083333333333328</v>
      </c>
      <c r="H5" s="3">
        <f t="shared" ref="H5:H14" si="2">F5-(C5*E5)</f>
        <v>574600</v>
      </c>
    </row>
    <row r="6" spans="1:8" x14ac:dyDescent="0.3">
      <c r="A6" s="6">
        <v>4284</v>
      </c>
      <c r="B6" s="6" t="s">
        <v>9</v>
      </c>
      <c r="C6" s="7">
        <v>3500</v>
      </c>
      <c r="D6" s="8">
        <v>154</v>
      </c>
      <c r="E6" s="8">
        <v>31</v>
      </c>
      <c r="F6" s="7">
        <f t="shared" si="0"/>
        <v>539000</v>
      </c>
      <c r="G6" s="9">
        <f t="shared" si="1"/>
        <v>0.79870129870129869</v>
      </c>
      <c r="H6" s="7">
        <f t="shared" si="2"/>
        <v>430500</v>
      </c>
    </row>
    <row r="7" spans="1:8" x14ac:dyDescent="0.3">
      <c r="A7" s="6">
        <v>3541</v>
      </c>
      <c r="B7" s="6" t="s">
        <v>10</v>
      </c>
      <c r="C7" s="7">
        <v>4200</v>
      </c>
      <c r="D7" s="8">
        <v>209</v>
      </c>
      <c r="E7" s="8">
        <v>22</v>
      </c>
      <c r="F7" s="7">
        <f t="shared" si="0"/>
        <v>877800</v>
      </c>
      <c r="G7" s="9">
        <f t="shared" si="1"/>
        <v>0.89473684210526316</v>
      </c>
      <c r="H7" s="7">
        <f t="shared" si="2"/>
        <v>785400</v>
      </c>
    </row>
    <row r="8" spans="1:8" x14ac:dyDescent="0.3">
      <c r="A8" s="6">
        <v>2875</v>
      </c>
      <c r="B8" s="6" t="s">
        <v>11</v>
      </c>
      <c r="C8" s="7">
        <v>1800</v>
      </c>
      <c r="D8" s="8">
        <v>452</v>
      </c>
      <c r="E8" s="8">
        <v>26</v>
      </c>
      <c r="F8" s="7">
        <f t="shared" si="0"/>
        <v>813600</v>
      </c>
      <c r="G8" s="9">
        <f t="shared" si="1"/>
        <v>0.94247787610619471</v>
      </c>
      <c r="H8" s="7">
        <f t="shared" si="2"/>
        <v>766800</v>
      </c>
    </row>
    <row r="9" spans="1:8" x14ac:dyDescent="0.3">
      <c r="A9" s="6">
        <v>3016</v>
      </c>
      <c r="B9" s="6" t="s">
        <v>12</v>
      </c>
      <c r="C9" s="7">
        <v>2200</v>
      </c>
      <c r="D9" s="8">
        <v>321</v>
      </c>
      <c r="E9" s="8">
        <v>13</v>
      </c>
      <c r="F9" s="7">
        <f t="shared" si="0"/>
        <v>706200</v>
      </c>
      <c r="G9" s="9">
        <f t="shared" si="1"/>
        <v>0.95950155763239875</v>
      </c>
      <c r="H9" s="7">
        <f t="shared" si="2"/>
        <v>677600</v>
      </c>
    </row>
    <row r="10" spans="1:8" x14ac:dyDescent="0.3">
      <c r="A10" s="6">
        <v>4250</v>
      </c>
      <c r="B10" s="6" t="s">
        <v>13</v>
      </c>
      <c r="C10" s="7">
        <v>5400</v>
      </c>
      <c r="D10" s="8">
        <v>120</v>
      </c>
      <c r="E10" s="8">
        <v>48</v>
      </c>
      <c r="F10" s="7">
        <f t="shared" si="0"/>
        <v>648000</v>
      </c>
      <c r="G10" s="9">
        <f t="shared" si="1"/>
        <v>0.6</v>
      </c>
      <c r="H10" s="7">
        <f t="shared" si="2"/>
        <v>388800</v>
      </c>
    </row>
    <row r="11" spans="1:8" x14ac:dyDescent="0.3">
      <c r="A11" s="6">
        <v>2586</v>
      </c>
      <c r="B11" s="6" t="s">
        <v>14</v>
      </c>
      <c r="C11" s="7">
        <v>2800</v>
      </c>
      <c r="D11" s="8">
        <v>410</v>
      </c>
      <c r="E11" s="8">
        <v>35</v>
      </c>
      <c r="F11" s="7">
        <f t="shared" si="0"/>
        <v>1148000</v>
      </c>
      <c r="G11" s="9">
        <f t="shared" si="1"/>
        <v>0.91463414634146345</v>
      </c>
      <c r="H11" s="7">
        <f t="shared" si="2"/>
        <v>1050000</v>
      </c>
    </row>
    <row r="12" spans="1:8" x14ac:dyDescent="0.3">
      <c r="A12" s="6">
        <v>1462</v>
      </c>
      <c r="B12" s="6" t="s">
        <v>15</v>
      </c>
      <c r="C12" s="7">
        <v>3600</v>
      </c>
      <c r="D12" s="8">
        <v>215</v>
      </c>
      <c r="E12" s="8">
        <v>106</v>
      </c>
      <c r="F12" s="7">
        <f t="shared" si="0"/>
        <v>774000</v>
      </c>
      <c r="G12" s="9">
        <f t="shared" si="1"/>
        <v>0.50697674418604655</v>
      </c>
      <c r="H12" s="7">
        <f t="shared" si="2"/>
        <v>392400</v>
      </c>
    </row>
    <row r="13" spans="1:8" x14ac:dyDescent="0.3">
      <c r="A13" s="6">
        <v>2253</v>
      </c>
      <c r="B13" s="6" t="s">
        <v>16</v>
      </c>
      <c r="C13" s="7">
        <v>4500</v>
      </c>
      <c r="D13" s="8">
        <v>325</v>
      </c>
      <c r="E13" s="8">
        <v>87</v>
      </c>
      <c r="F13" s="7">
        <f t="shared" si="0"/>
        <v>1462500</v>
      </c>
      <c r="G13" s="9">
        <f t="shared" si="1"/>
        <v>0.73230769230769233</v>
      </c>
      <c r="H13" s="7">
        <f t="shared" si="2"/>
        <v>1071000</v>
      </c>
    </row>
    <row r="14" spans="1:8" ht="17.25" thickBot="1" x14ac:dyDescent="0.35">
      <c r="A14" s="6">
        <v>2028</v>
      </c>
      <c r="B14" s="6" t="s">
        <v>17</v>
      </c>
      <c r="C14" s="7">
        <v>3200</v>
      </c>
      <c r="D14" s="8">
        <v>248</v>
      </c>
      <c r="E14" s="8">
        <v>74</v>
      </c>
      <c r="F14" s="7">
        <f t="shared" si="0"/>
        <v>793600</v>
      </c>
      <c r="G14" s="10">
        <f t="shared" si="1"/>
        <v>0.70161290322580649</v>
      </c>
      <c r="H14" s="11">
        <f t="shared" si="2"/>
        <v>556800</v>
      </c>
    </row>
    <row r="15" spans="1:8" ht="17.25" thickBot="1" x14ac:dyDescent="0.35">
      <c r="G15" s="12" t="s">
        <v>18</v>
      </c>
      <c r="H15" s="13">
        <f>SUM(H5:H14)</f>
        <v>6693900</v>
      </c>
    </row>
  </sheetData>
  <scenarios current="0" sqref="H15">
    <scenario name="수익률의 증가" locked="1" count="3" user="okmiilk@naver.com">
      <inputCells r="E5" val="9" numFmtId="176"/>
      <inputCells r="E6" val="21" numFmtId="176"/>
      <inputCells r="E7" val="12" numFmtId="176"/>
    </scenario>
    <scenario name="수익률의 감소" locked="1" count="3" user="okmiilk@naver.com">
      <inputCells r="E5" val="29" numFmtId="176"/>
      <inputCells r="E6" val="41" numFmtId="176"/>
      <inputCells r="E7" val="32" numFmtId="176"/>
    </scenario>
  </scenario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FF10-71AF-4B26-B92A-4B2F0ECF2D7D}">
  <sheetPr>
    <outlinePr summaryBelow="0"/>
  </sheetPr>
  <dimension ref="B1:F11"/>
  <sheetViews>
    <sheetView showGridLines="0" workbookViewId="0"/>
  </sheetViews>
  <sheetFormatPr defaultRowHeight="16.5" outlineLevelRow="1" outlineLevelCol="1" x14ac:dyDescent="0.3"/>
  <cols>
    <col min="4" max="6" width="10.625" bestFit="1" customWidth="1" outlineLevel="1"/>
  </cols>
  <sheetData>
    <row r="1" spans="2:6" ht="17.25" thickBot="1" x14ac:dyDescent="0.35"/>
    <row r="2" spans="2:6" x14ac:dyDescent="0.3">
      <c r="B2" s="25" t="s">
        <v>37</v>
      </c>
      <c r="C2" s="26"/>
      <c r="D2" s="32"/>
      <c r="E2" s="32"/>
      <c r="F2" s="32"/>
    </row>
    <row r="3" spans="2:6" collapsed="1" x14ac:dyDescent="0.3">
      <c r="B3" s="24"/>
      <c r="C3" s="24"/>
      <c r="D3" s="33" t="s">
        <v>39</v>
      </c>
      <c r="E3" s="33" t="s">
        <v>45</v>
      </c>
      <c r="F3" s="33" t="s">
        <v>46</v>
      </c>
    </row>
    <row r="4" spans="2:6" hidden="1" outlineLevel="1" x14ac:dyDescent="0.3">
      <c r="B4" s="28"/>
      <c r="C4" s="28"/>
      <c r="E4" s="35"/>
      <c r="F4" s="35"/>
    </row>
    <row r="5" spans="2:6" x14ac:dyDescent="0.3">
      <c r="B5" s="29" t="s">
        <v>38</v>
      </c>
      <c r="C5" s="30"/>
      <c r="D5" s="27"/>
      <c r="E5" s="27"/>
      <c r="F5" s="27"/>
    </row>
    <row r="6" spans="2:6" outlineLevel="1" x14ac:dyDescent="0.3">
      <c r="B6" s="28"/>
      <c r="C6" s="28" t="s">
        <v>44</v>
      </c>
      <c r="D6" s="36">
        <v>0.1075</v>
      </c>
      <c r="E6" s="38">
        <v>0.1</v>
      </c>
      <c r="F6" s="38">
        <v>0.115</v>
      </c>
    </row>
    <row r="7" spans="2:6" x14ac:dyDescent="0.3">
      <c r="B7" s="29" t="s">
        <v>40</v>
      </c>
      <c r="C7" s="30"/>
      <c r="D7" s="27"/>
      <c r="E7" s="27"/>
      <c r="F7" s="27"/>
    </row>
    <row r="8" spans="2:6" ht="17.25" outlineLevel="1" thickBot="1" x14ac:dyDescent="0.35">
      <c r="B8" s="31"/>
      <c r="C8" s="31" t="s">
        <v>23</v>
      </c>
      <c r="D8" s="37">
        <v>6660712.6162617505</v>
      </c>
      <c r="E8" s="37">
        <v>6611728.8412667699</v>
      </c>
      <c r="F8" s="37">
        <v>6710151.6766047599</v>
      </c>
    </row>
    <row r="9" spans="2:6" x14ac:dyDescent="0.3">
      <c r="B9" t="s">
        <v>41</v>
      </c>
    </row>
    <row r="10" spans="2:6" x14ac:dyDescent="0.3">
      <c r="B10" t="s">
        <v>42</v>
      </c>
    </row>
    <row r="11" spans="2:6" x14ac:dyDescent="0.3">
      <c r="B11" t="s">
        <v>43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707F-1A0D-4791-8993-3615900F2166}">
  <dimension ref="B2:C7"/>
  <sheetViews>
    <sheetView workbookViewId="0"/>
  </sheetViews>
  <sheetFormatPr defaultRowHeight="16.5" x14ac:dyDescent="0.3"/>
  <cols>
    <col min="2" max="2" width="15.125" bestFit="1" customWidth="1"/>
    <col min="3" max="3" width="11.375" bestFit="1" customWidth="1"/>
  </cols>
  <sheetData>
    <row r="2" spans="2:3" x14ac:dyDescent="0.3">
      <c r="B2" s="42" t="s">
        <v>19</v>
      </c>
      <c r="C2" s="42"/>
    </row>
    <row r="4" spans="2:3" x14ac:dyDescent="0.3">
      <c r="B4" s="14" t="s">
        <v>20</v>
      </c>
      <c r="C4" s="15">
        <v>250000</v>
      </c>
    </row>
    <row r="5" spans="2:3" x14ac:dyDescent="0.3">
      <c r="B5" s="14" t="s">
        <v>21</v>
      </c>
      <c r="C5" s="16">
        <v>0.1075</v>
      </c>
    </row>
    <row r="6" spans="2:3" x14ac:dyDescent="0.3">
      <c r="B6" s="14" t="s">
        <v>22</v>
      </c>
      <c r="C6" s="17">
        <v>2</v>
      </c>
    </row>
    <row r="7" spans="2:3" x14ac:dyDescent="0.3">
      <c r="B7" s="14" t="s">
        <v>23</v>
      </c>
      <c r="C7" s="15">
        <f>FV($C$5/12,$C$6*12,-$C$4,0)</f>
        <v>6660712.6162617523</v>
      </c>
    </row>
  </sheetData>
  <scenarios current="0" sqref="C7">
    <scenario name="이율10%" locked="1" count="1" user="okmiilk@naver.com">
      <inputCells r="C5" val="0.1" numFmtId="10"/>
    </scenario>
    <scenario name="이율11.5%" locked="1" count="1" user="okmiilk@naver.com">
      <inputCells r="C5" val="0.115" numFmtId="10"/>
    </scenario>
  </scenarios>
  <mergeCells count="1">
    <mergeCell ref="B2:C2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34ED8-74CE-4481-BEE5-3C5B630EDBC9}">
  <sheetPr>
    <outlinePr summaryBelow="0"/>
  </sheetPr>
  <dimension ref="B1:F12"/>
  <sheetViews>
    <sheetView showGridLines="0" workbookViewId="0"/>
  </sheetViews>
  <sheetFormatPr defaultRowHeight="16.5" outlineLevelRow="1" outlineLevelCol="1" x14ac:dyDescent="0.3"/>
  <cols>
    <col min="3" max="3" width="5.625" bestFit="1" customWidth="1"/>
    <col min="4" max="6" width="11.875" bestFit="1" customWidth="1" outlineLevel="1"/>
  </cols>
  <sheetData>
    <row r="1" spans="2:6" ht="17.25" thickBot="1" x14ac:dyDescent="0.35"/>
    <row r="2" spans="2:6" x14ac:dyDescent="0.3">
      <c r="B2" s="25" t="s">
        <v>37</v>
      </c>
      <c r="C2" s="26"/>
      <c r="D2" s="32"/>
      <c r="E2" s="32"/>
      <c r="F2" s="32"/>
    </row>
    <row r="3" spans="2:6" collapsed="1" x14ac:dyDescent="0.3">
      <c r="B3" s="24"/>
      <c r="C3" s="24"/>
      <c r="D3" s="33" t="s">
        <v>39</v>
      </c>
      <c r="E3" s="33" t="s">
        <v>50</v>
      </c>
      <c r="F3" s="33" t="s">
        <v>51</v>
      </c>
    </row>
    <row r="4" spans="2:6" hidden="1" outlineLevel="1" x14ac:dyDescent="0.3">
      <c r="B4" s="28"/>
      <c r="C4" s="28"/>
      <c r="E4" s="35"/>
      <c r="F4" s="35"/>
    </row>
    <row r="5" spans="2:6" x14ac:dyDescent="0.3">
      <c r="B5" s="29" t="s">
        <v>38</v>
      </c>
      <c r="C5" s="30"/>
      <c r="D5" s="27"/>
      <c r="E5" s="27"/>
      <c r="F5" s="27"/>
    </row>
    <row r="6" spans="2:6" outlineLevel="1" x14ac:dyDescent="0.3">
      <c r="B6" s="28"/>
      <c r="C6" s="28" t="s">
        <v>47</v>
      </c>
      <c r="D6" s="39">
        <v>1500</v>
      </c>
      <c r="E6" s="41">
        <v>1300</v>
      </c>
      <c r="F6" s="41">
        <v>1700</v>
      </c>
    </row>
    <row r="7" spans="2:6" x14ac:dyDescent="0.3">
      <c r="B7" s="29" t="s">
        <v>40</v>
      </c>
      <c r="C7" s="30"/>
      <c r="D7" s="27"/>
      <c r="E7" s="27"/>
      <c r="F7" s="27"/>
    </row>
    <row r="8" spans="2:6" outlineLevel="1" x14ac:dyDescent="0.3">
      <c r="B8" s="28"/>
      <c r="C8" s="28" t="s">
        <v>48</v>
      </c>
      <c r="D8" s="39">
        <v>19539000</v>
      </c>
      <c r="E8" s="39">
        <v>9139000</v>
      </c>
      <c r="F8" s="39">
        <v>29939000</v>
      </c>
    </row>
    <row r="9" spans="2:6" ht="17.25" outlineLevel="1" thickBot="1" x14ac:dyDescent="0.35">
      <c r="B9" s="31"/>
      <c r="C9" s="31" t="s">
        <v>49</v>
      </c>
      <c r="D9" s="40">
        <v>0.2505</v>
      </c>
      <c r="E9" s="40">
        <v>0.135192307692308</v>
      </c>
      <c r="F9" s="40">
        <v>0.33867647058823502</v>
      </c>
    </row>
    <row r="10" spans="2:6" x14ac:dyDescent="0.3">
      <c r="B10" t="s">
        <v>41</v>
      </c>
    </row>
    <row r="11" spans="2:6" x14ac:dyDescent="0.3">
      <c r="B11" t="s">
        <v>42</v>
      </c>
    </row>
    <row r="12" spans="2:6" x14ac:dyDescent="0.3">
      <c r="B12" t="s">
        <v>43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97B6A-0E28-4EC5-B7C0-35D32DA09A43}">
  <dimension ref="A1:B9"/>
  <sheetViews>
    <sheetView workbookViewId="0">
      <selection activeCell="B9" sqref="B9"/>
    </sheetView>
  </sheetViews>
  <sheetFormatPr defaultRowHeight="16.5" x14ac:dyDescent="0.3"/>
  <cols>
    <col min="1" max="1" width="11.625" bestFit="1" customWidth="1"/>
    <col min="2" max="2" width="15.375" customWidth="1"/>
  </cols>
  <sheetData>
    <row r="1" spans="1:2" ht="20.25" x14ac:dyDescent="0.3">
      <c r="A1" s="43" t="s">
        <v>24</v>
      </c>
      <c r="B1" s="43"/>
    </row>
    <row r="3" spans="1:2" x14ac:dyDescent="0.3">
      <c r="A3" s="18" t="s">
        <v>25</v>
      </c>
      <c r="B3" s="18" t="s">
        <v>26</v>
      </c>
    </row>
    <row r="4" spans="1:2" x14ac:dyDescent="0.3">
      <c r="A4" s="19" t="s">
        <v>27</v>
      </c>
      <c r="B4" s="20">
        <v>1500</v>
      </c>
    </row>
    <row r="5" spans="1:2" x14ac:dyDescent="0.3">
      <c r="A5" s="19" t="s">
        <v>28</v>
      </c>
      <c r="B5" s="20">
        <v>52000</v>
      </c>
    </row>
    <row r="6" spans="1:2" x14ac:dyDescent="0.3">
      <c r="A6" s="19" t="s">
        <v>5</v>
      </c>
      <c r="B6" s="20">
        <f>B5*B4</f>
        <v>78000000</v>
      </c>
    </row>
    <row r="7" spans="1:2" x14ac:dyDescent="0.3">
      <c r="A7" s="19" t="s">
        <v>29</v>
      </c>
      <c r="B7" s="20">
        <v>58461000</v>
      </c>
    </row>
    <row r="8" spans="1:2" x14ac:dyDescent="0.3">
      <c r="A8" s="19" t="s">
        <v>30</v>
      </c>
      <c r="B8" s="20">
        <f>B6-B7</f>
        <v>19539000</v>
      </c>
    </row>
    <row r="9" spans="1:2" x14ac:dyDescent="0.3">
      <c r="A9" s="19" t="s">
        <v>31</v>
      </c>
      <c r="B9" s="21">
        <f>B8/B6</f>
        <v>0.2505</v>
      </c>
    </row>
  </sheetData>
  <scenarios current="0" sqref="B8:B9">
    <scenario name="200원인하" locked="1" count="1" user="okmiilk@naver.com">
      <inputCells r="B4" val="1300" numFmtId="41"/>
    </scenario>
    <scenario name="200원인상" locked="1" count="1" user="okmiilk@naver.com">
      <inputCells r="B4" val="1700" numFmtId="41"/>
    </scenario>
  </scenarios>
  <mergeCells count="1">
    <mergeCell ref="A1:B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6</vt:i4>
      </vt:variant>
    </vt:vector>
  </HeadingPairs>
  <TitlesOfParts>
    <vt:vector size="12" baseType="lpstr">
      <vt:lpstr>시나리오 요약</vt:lpstr>
      <vt:lpstr>무작정따라하기</vt:lpstr>
      <vt:lpstr>시나리오 요약 2</vt:lpstr>
      <vt:lpstr>기출01</vt:lpstr>
      <vt:lpstr>시나리오 요약 3</vt:lpstr>
      <vt:lpstr>기출02</vt:lpstr>
      <vt:lpstr>A반품수량</vt:lpstr>
      <vt:lpstr>B반품수량</vt:lpstr>
      <vt:lpstr>C반품수량</vt:lpstr>
      <vt:lpstr>만기금액</vt:lpstr>
      <vt:lpstr>매출액합계</vt:lpstr>
      <vt:lpstr>이율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2023-05-11T10:35:46Z</dcterms:created>
  <dcterms:modified xsi:type="dcterms:W3CDTF">2023-09-19T09:49:13Z</dcterms:modified>
</cp:coreProperties>
</file>