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2A21E87F-BCAB-4860-9FD7-53318AA90F72}" xr6:coauthVersionLast="47" xr6:coauthVersionMax="47" xr10:uidLastSave="{00000000-0000-0000-0000-000000000000}"/>
  <bookViews>
    <workbookView xWindow="28680" yWindow="-120" windowWidth="29040" windowHeight="17640" xr2:uid="{1B04BA15-1049-46BE-9B4F-A06E95B95862}"/>
  </bookViews>
  <sheets>
    <sheet name="무작정따라하기" sheetId="2" r:id="rId1"/>
    <sheet name="기출0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" l="1"/>
  <c r="F34" i="1"/>
  <c r="D34" i="1"/>
  <c r="H17" i="1"/>
  <c r="H18" i="1"/>
  <c r="H19" i="1"/>
  <c r="H20" i="1"/>
  <c r="H16" i="1"/>
  <c r="H9" i="1"/>
  <c r="H10" i="1"/>
  <c r="H11" i="1"/>
  <c r="H12" i="1"/>
  <c r="H8" i="1"/>
  <c r="G26" i="2"/>
  <c r="G27" i="2"/>
  <c r="G28" i="2"/>
  <c r="G29" i="2"/>
  <c r="G25" i="2"/>
  <c r="E14" i="2"/>
  <c r="E15" i="2"/>
  <c r="E16" i="2"/>
  <c r="E17" i="2"/>
  <c r="E13" i="2"/>
  <c r="D4" i="2"/>
  <c r="D5" i="2"/>
  <c r="D6" i="2"/>
  <c r="D7" i="2"/>
  <c r="D8" i="2"/>
  <c r="D9" i="2"/>
  <c r="D3" i="2"/>
</calcChain>
</file>

<file path=xl/sharedStrings.xml><?xml version="1.0" encoding="utf-8"?>
<sst xmlns="http://schemas.openxmlformats.org/spreadsheetml/2006/main" count="156" uniqueCount="115">
  <si>
    <t>[표1]</t>
  </si>
  <si>
    <t>[표4]  부동산 임대 중개수수료</t>
  </si>
  <si>
    <t>구분</t>
  </si>
  <si>
    <t>연습1</t>
  </si>
  <si>
    <t>연습2</t>
  </si>
  <si>
    <t>연습3</t>
  </si>
  <si>
    <t>연습4</t>
  </si>
  <si>
    <t>임대가격</t>
  </si>
  <si>
    <t>수수료율</t>
  </si>
  <si>
    <t>한도액</t>
  </si>
  <si>
    <t>가중치</t>
  </si>
  <si>
    <t>[표2]</t>
  </si>
  <si>
    <t>개인별 투자 성적</t>
  </si>
  <si>
    <t>부서</t>
  </si>
  <si>
    <t>이름</t>
  </si>
  <si>
    <t>직위</t>
  </si>
  <si>
    <t>평균점수</t>
  </si>
  <si>
    <t>기획실</t>
  </si>
  <si>
    <t>김세환</t>
  </si>
  <si>
    <t>사원</t>
  </si>
  <si>
    <t>홍보팀</t>
  </si>
  <si>
    <t>황선철</t>
  </si>
  <si>
    <t>유제관</t>
  </si>
  <si>
    <t>과장</t>
  </si>
  <si>
    <t>관리과</t>
  </si>
  <si>
    <t>고수정</t>
  </si>
  <si>
    <t>도경민</t>
  </si>
  <si>
    <t>대리</t>
  </si>
  <si>
    <t>[표3]</t>
  </si>
  <si>
    <t>건물번호</t>
  </si>
  <si>
    <t>건물이름</t>
  </si>
  <si>
    <t>면적(㎡)</t>
  </si>
  <si>
    <t>월입대료</t>
  </si>
  <si>
    <t>임대시작일</t>
  </si>
  <si>
    <t>임대종료일</t>
  </si>
  <si>
    <t>중개수수료</t>
  </si>
  <si>
    <t>BD-004</t>
  </si>
  <si>
    <t>장수빌딩</t>
  </si>
  <si>
    <t>BD-002</t>
  </si>
  <si>
    <t>제주빌딩</t>
  </si>
  <si>
    <t>BD-015</t>
  </si>
  <si>
    <t>미래빌딩</t>
  </si>
  <si>
    <t>BD-003</t>
  </si>
  <si>
    <t>우리빌딩</t>
  </si>
  <si>
    <t>[표5]</t>
  </si>
  <si>
    <t xml:space="preserve"> 제품별 판매 현황</t>
  </si>
  <si>
    <t>단위:천원</t>
  </si>
  <si>
    <t>제품코드</t>
  </si>
  <si>
    <t>제품명</t>
  </si>
  <si>
    <t>등급</t>
  </si>
  <si>
    <t>판매량</t>
  </si>
  <si>
    <t>단가</t>
  </si>
  <si>
    <t>원가비율</t>
  </si>
  <si>
    <t>tv-a</t>
  </si>
  <si>
    <t>TV</t>
  </si>
  <si>
    <t>고급형</t>
  </si>
  <si>
    <t>tv-b</t>
  </si>
  <si>
    <t>중급형</t>
  </si>
  <si>
    <t>tv-c</t>
  </si>
  <si>
    <t>보급형</t>
  </si>
  <si>
    <t>vtr-b</t>
  </si>
  <si>
    <t>VTR</t>
  </si>
  <si>
    <t>vtr-c</t>
  </si>
  <si>
    <t>aud-a</t>
  </si>
  <si>
    <t>AUD</t>
  </si>
  <si>
    <t>aud-b</t>
  </si>
  <si>
    <t>aud-c</t>
  </si>
  <si>
    <t>고급형 평균</t>
  </si>
  <si>
    <t>단위: 만</t>
  </si>
  <si>
    <t>&lt;조견표1&gt;</t>
  </si>
  <si>
    <t>&lt;조견표2&gt;</t>
  </si>
  <si>
    <t>고객사</t>
  </si>
  <si>
    <t>중량(KG)</t>
  </si>
  <si>
    <t>용적(CBM)</t>
  </si>
  <si>
    <t>운임</t>
  </si>
  <si>
    <t>중량</t>
  </si>
  <si>
    <t>단위요금</t>
  </si>
  <si>
    <t>용적</t>
  </si>
  <si>
    <t>건우교역</t>
  </si>
  <si>
    <t>경원실업</t>
  </si>
  <si>
    <t>경인에폭시</t>
  </si>
  <si>
    <t>고려상사</t>
  </si>
  <si>
    <t>고려종합</t>
  </si>
  <si>
    <t>SDC</t>
  </si>
  <si>
    <t>영원종합</t>
  </si>
  <si>
    <t>성명</t>
  </si>
  <si>
    <t>총급여</t>
  </si>
  <si>
    <t>월불입액</t>
  </si>
  <si>
    <t>만기지급액</t>
  </si>
  <si>
    <t>고아라</t>
  </si>
  <si>
    <t>차장</t>
  </si>
  <si>
    <t>나영희</t>
  </si>
  <si>
    <t>박철수</t>
  </si>
  <si>
    <t>부장</t>
  </si>
  <si>
    <t>안도해</t>
  </si>
  <si>
    <t>김원중</t>
  </si>
  <si>
    <t>개설강좌</t>
  </si>
  <si>
    <t>초과강의</t>
  </si>
  <si>
    <t>학생지도</t>
  </si>
  <si>
    <t>수당</t>
  </si>
  <si>
    <t>[표4]</t>
  </si>
  <si>
    <t>학과</t>
  </si>
  <si>
    <t>직급</t>
  </si>
  <si>
    <t>기말수당</t>
  </si>
  <si>
    <t>비서학과</t>
  </si>
  <si>
    <t>부교수</t>
  </si>
  <si>
    <t>장기웅</t>
  </si>
  <si>
    <t>경영학과</t>
  </si>
  <si>
    <t>인정제</t>
  </si>
  <si>
    <t>경제학과</t>
  </si>
  <si>
    <t>조교수</t>
  </si>
  <si>
    <t>정태은</t>
  </si>
  <si>
    <t>무역학과</t>
  </si>
  <si>
    <t>신경국</t>
  </si>
  <si>
    <t>유봉선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</si>
</sst>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dd\-mmm\-yy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>
      <alignment vertical="center"/>
    </xf>
    <xf numFmtId="10" fontId="0" fillId="0" borderId="1" xfId="2" applyNumberFormat="1" applyFont="1" applyBorder="1">
      <alignment vertical="center"/>
    </xf>
    <xf numFmtId="41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76" fontId="5" fillId="0" borderId="1" xfId="3" applyNumberFormat="1" applyFont="1" applyBorder="1" applyAlignment="1">
      <alignment horizontal="right" wrapText="1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6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Sheet3" xfId="3" xr:uid="{FDBE82FB-F951-4A2E-90BA-B38F0DB6D6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003ED-D6B7-4C01-A033-C1266C460D51}">
  <dimension ref="A1:J29"/>
  <sheetViews>
    <sheetView tabSelected="1" workbookViewId="0"/>
  </sheetViews>
  <sheetFormatPr defaultRowHeight="16.5" x14ac:dyDescent="0.3"/>
  <cols>
    <col min="1" max="1" width="12.875" customWidth="1"/>
    <col min="3" max="3" width="10.875" bestFit="1" customWidth="1"/>
    <col min="4" max="4" width="9.375" bestFit="1" customWidth="1"/>
    <col min="5" max="5" width="11.25" bestFit="1" customWidth="1"/>
    <col min="7" max="7" width="13.75" customWidth="1"/>
    <col min="8" max="8" width="2" customWidth="1"/>
  </cols>
  <sheetData>
    <row r="1" spans="1:10" x14ac:dyDescent="0.3">
      <c r="A1" t="s">
        <v>0</v>
      </c>
      <c r="D1" s="10" t="s">
        <v>68</v>
      </c>
      <c r="F1" t="s">
        <v>69</v>
      </c>
      <c r="I1" t="s">
        <v>70</v>
      </c>
    </row>
    <row r="2" spans="1:10" x14ac:dyDescent="0.3">
      <c r="A2" s="1" t="s">
        <v>71</v>
      </c>
      <c r="B2" s="1" t="s">
        <v>72</v>
      </c>
      <c r="C2" s="1" t="s">
        <v>73</v>
      </c>
      <c r="D2" s="6" t="s">
        <v>74</v>
      </c>
      <c r="F2" s="1" t="s">
        <v>75</v>
      </c>
      <c r="G2" s="1" t="s">
        <v>76</v>
      </c>
      <c r="I2" s="1" t="s">
        <v>77</v>
      </c>
      <c r="J2" s="1" t="s">
        <v>76</v>
      </c>
    </row>
    <row r="3" spans="1:10" x14ac:dyDescent="0.3">
      <c r="A3" s="1" t="s">
        <v>78</v>
      </c>
      <c r="B3" s="1">
        <v>25</v>
      </c>
      <c r="C3" s="1">
        <v>80</v>
      </c>
      <c r="D3" s="1">
        <f>MAX(B3*VLOOKUP(B3,$F$3:$G$6,2),C3*VLOOKUP(C3,$I$3:$J$6,2))</f>
        <v>400</v>
      </c>
      <c r="F3" s="3">
        <v>0</v>
      </c>
      <c r="G3" s="3">
        <v>10</v>
      </c>
      <c r="I3" s="3">
        <v>0</v>
      </c>
      <c r="J3" s="3">
        <v>5</v>
      </c>
    </row>
    <row r="4" spans="1:10" x14ac:dyDescent="0.3">
      <c r="A4" s="1" t="s">
        <v>79</v>
      </c>
      <c r="B4" s="1">
        <v>26</v>
      </c>
      <c r="C4" s="1">
        <v>65</v>
      </c>
      <c r="D4" s="1">
        <f t="shared" ref="D4:D9" si="0">MAX(B4*VLOOKUP(B4,$F$3:$G$6,2),C4*VLOOKUP(C4,$I$3:$J$6,2))</f>
        <v>325</v>
      </c>
      <c r="F4" s="3">
        <v>50</v>
      </c>
      <c r="G4" s="3">
        <v>9</v>
      </c>
      <c r="I4" s="3">
        <v>100</v>
      </c>
      <c r="J4" s="3">
        <v>4</v>
      </c>
    </row>
    <row r="5" spans="1:10" x14ac:dyDescent="0.3">
      <c r="A5" s="1" t="s">
        <v>80</v>
      </c>
      <c r="B5" s="1">
        <v>120</v>
      </c>
      <c r="C5" s="1">
        <v>45</v>
      </c>
      <c r="D5" s="1">
        <f t="shared" si="0"/>
        <v>1080</v>
      </c>
      <c r="F5" s="3">
        <v>150</v>
      </c>
      <c r="G5" s="3">
        <v>8</v>
      </c>
      <c r="I5" s="3">
        <v>200</v>
      </c>
      <c r="J5" s="3">
        <v>3</v>
      </c>
    </row>
    <row r="6" spans="1:10" x14ac:dyDescent="0.3">
      <c r="A6" s="1" t="s">
        <v>81</v>
      </c>
      <c r="B6" s="1">
        <v>56</v>
      </c>
      <c r="C6" s="1">
        <v>77</v>
      </c>
      <c r="D6" s="1">
        <f t="shared" si="0"/>
        <v>504</v>
      </c>
      <c r="F6" s="3">
        <v>300</v>
      </c>
      <c r="G6" s="3">
        <v>7</v>
      </c>
      <c r="I6" s="3">
        <v>350</v>
      </c>
      <c r="J6" s="3">
        <v>3.5</v>
      </c>
    </row>
    <row r="7" spans="1:10" x14ac:dyDescent="0.3">
      <c r="A7" s="1" t="s">
        <v>82</v>
      </c>
      <c r="B7" s="1">
        <v>23</v>
      </c>
      <c r="C7" s="1">
        <v>39</v>
      </c>
      <c r="D7" s="1">
        <f t="shared" si="0"/>
        <v>230</v>
      </c>
    </row>
    <row r="8" spans="1:10" x14ac:dyDescent="0.3">
      <c r="A8" s="1" t="s">
        <v>83</v>
      </c>
      <c r="B8" s="1">
        <v>44</v>
      </c>
      <c r="C8" s="1">
        <v>108</v>
      </c>
      <c r="D8" s="1">
        <f t="shared" si="0"/>
        <v>440</v>
      </c>
    </row>
    <row r="9" spans="1:10" x14ac:dyDescent="0.3">
      <c r="A9" s="1" t="s">
        <v>84</v>
      </c>
      <c r="B9" s="1">
        <v>35</v>
      </c>
      <c r="C9" s="1">
        <v>120</v>
      </c>
      <c r="D9" s="1">
        <f t="shared" si="0"/>
        <v>480</v>
      </c>
    </row>
    <row r="11" spans="1:10" x14ac:dyDescent="0.3">
      <c r="A11" t="s">
        <v>11</v>
      </c>
    </row>
    <row r="12" spans="1:10" x14ac:dyDescent="0.3">
      <c r="A12" s="1" t="s">
        <v>85</v>
      </c>
      <c r="B12" s="1" t="s">
        <v>15</v>
      </c>
      <c r="C12" s="1" t="s">
        <v>86</v>
      </c>
      <c r="D12" s="1" t="s">
        <v>87</v>
      </c>
      <c r="E12" s="6" t="s">
        <v>88</v>
      </c>
    </row>
    <row r="13" spans="1:10" x14ac:dyDescent="0.3">
      <c r="A13" s="1" t="s">
        <v>89</v>
      </c>
      <c r="B13" s="1" t="s">
        <v>90</v>
      </c>
      <c r="C13" s="11">
        <v>2800500</v>
      </c>
      <c r="D13" s="11">
        <v>112000</v>
      </c>
      <c r="E13" s="12">
        <f>ROUNDUP(FV(4%/12,5*12,-D13,,1),-2)</f>
        <v>7450300</v>
      </c>
    </row>
    <row r="14" spans="1:10" x14ac:dyDescent="0.3">
      <c r="A14" s="1" t="s">
        <v>91</v>
      </c>
      <c r="B14" s="1" t="s">
        <v>23</v>
      </c>
      <c r="C14" s="11">
        <v>2709000</v>
      </c>
      <c r="D14" s="11">
        <v>81300</v>
      </c>
      <c r="E14" s="12">
        <f t="shared" ref="E14:E17" si="1">ROUNDUP(FV(4%/12,5*12,-D14,,1),-2)</f>
        <v>5408100</v>
      </c>
    </row>
    <row r="15" spans="1:10" x14ac:dyDescent="0.3">
      <c r="A15" s="1" t="s">
        <v>92</v>
      </c>
      <c r="B15" s="1" t="s">
        <v>93</v>
      </c>
      <c r="C15" s="11">
        <v>2839500</v>
      </c>
      <c r="D15" s="11">
        <v>113600</v>
      </c>
      <c r="E15" s="12">
        <f t="shared" si="1"/>
        <v>7556700</v>
      </c>
    </row>
    <row r="16" spans="1:10" x14ac:dyDescent="0.3">
      <c r="A16" s="1" t="s">
        <v>94</v>
      </c>
      <c r="B16" s="1" t="s">
        <v>90</v>
      </c>
      <c r="C16" s="11">
        <v>2800400</v>
      </c>
      <c r="D16" s="11">
        <v>112000</v>
      </c>
      <c r="E16" s="12">
        <f t="shared" si="1"/>
        <v>7450300</v>
      </c>
    </row>
    <row r="17" spans="1:7" x14ac:dyDescent="0.3">
      <c r="A17" s="1" t="s">
        <v>95</v>
      </c>
      <c r="B17" s="1" t="s">
        <v>27</v>
      </c>
      <c r="C17" s="11">
        <v>2310000</v>
      </c>
      <c r="D17" s="11">
        <v>69300</v>
      </c>
      <c r="E17" s="12">
        <f t="shared" si="1"/>
        <v>4609900</v>
      </c>
    </row>
    <row r="19" spans="1:7" x14ac:dyDescent="0.3">
      <c r="A19" t="s">
        <v>28</v>
      </c>
    </row>
    <row r="20" spans="1:7" x14ac:dyDescent="0.3">
      <c r="A20" s="1" t="s">
        <v>2</v>
      </c>
      <c r="B20" s="1" t="s">
        <v>96</v>
      </c>
      <c r="C20" s="1" t="s">
        <v>97</v>
      </c>
      <c r="D20" s="1" t="s">
        <v>98</v>
      </c>
    </row>
    <row r="21" spans="1:7" x14ac:dyDescent="0.3">
      <c r="A21" s="1" t="s">
        <v>99</v>
      </c>
      <c r="B21" s="11">
        <v>10000</v>
      </c>
      <c r="C21" s="11">
        <v>15000</v>
      </c>
      <c r="D21" s="11">
        <v>5000</v>
      </c>
    </row>
    <row r="23" spans="1:7" x14ac:dyDescent="0.3">
      <c r="A23" t="s">
        <v>100</v>
      </c>
    </row>
    <row r="24" spans="1:7" x14ac:dyDescent="0.3">
      <c r="A24" s="1" t="s">
        <v>101</v>
      </c>
      <c r="B24" s="1" t="s">
        <v>102</v>
      </c>
      <c r="C24" s="1" t="s">
        <v>85</v>
      </c>
      <c r="D24" s="1" t="s">
        <v>96</v>
      </c>
      <c r="E24" s="1" t="s">
        <v>97</v>
      </c>
      <c r="F24" s="1" t="s">
        <v>98</v>
      </c>
      <c r="G24" s="6" t="s">
        <v>103</v>
      </c>
    </row>
    <row r="25" spans="1:7" x14ac:dyDescent="0.3">
      <c r="A25" s="1" t="s">
        <v>104</v>
      </c>
      <c r="B25" s="1" t="s">
        <v>105</v>
      </c>
      <c r="C25" s="1" t="s">
        <v>106</v>
      </c>
      <c r="D25" s="11">
        <v>3</v>
      </c>
      <c r="E25" s="11">
        <v>0</v>
      </c>
      <c r="F25" s="1">
        <v>300</v>
      </c>
      <c r="G25" s="11">
        <f>SUMPRODUCT(D25:F25,$B$21:$D$21)</f>
        <v>1530000</v>
      </c>
    </row>
    <row r="26" spans="1:7" x14ac:dyDescent="0.3">
      <c r="A26" s="1" t="s">
        <v>107</v>
      </c>
      <c r="B26" s="1" t="s">
        <v>105</v>
      </c>
      <c r="C26" s="1" t="s">
        <v>108</v>
      </c>
      <c r="D26" s="11">
        <v>3</v>
      </c>
      <c r="E26" s="11">
        <v>5</v>
      </c>
      <c r="F26" s="1">
        <v>270</v>
      </c>
      <c r="G26" s="11">
        <f t="shared" ref="G26:G29" si="2">SUMPRODUCT(D26:F26,$B$21:$D$21)</f>
        <v>1455000</v>
      </c>
    </row>
    <row r="27" spans="1:7" x14ac:dyDescent="0.3">
      <c r="A27" s="1" t="s">
        <v>109</v>
      </c>
      <c r="B27" s="1" t="s">
        <v>110</v>
      </c>
      <c r="C27" s="1" t="s">
        <v>111</v>
      </c>
      <c r="D27" s="11">
        <v>3</v>
      </c>
      <c r="E27" s="11">
        <v>2</v>
      </c>
      <c r="F27" s="1">
        <v>270</v>
      </c>
      <c r="G27" s="11">
        <f t="shared" si="2"/>
        <v>1410000</v>
      </c>
    </row>
    <row r="28" spans="1:7" x14ac:dyDescent="0.3">
      <c r="A28" s="1" t="s">
        <v>112</v>
      </c>
      <c r="B28" s="1" t="s">
        <v>110</v>
      </c>
      <c r="C28" s="1" t="s">
        <v>113</v>
      </c>
      <c r="D28" s="11">
        <v>3</v>
      </c>
      <c r="E28" s="11">
        <v>1</v>
      </c>
      <c r="F28" s="1">
        <v>320</v>
      </c>
      <c r="G28" s="11">
        <f t="shared" si="2"/>
        <v>1645000</v>
      </c>
    </row>
    <row r="29" spans="1:7" x14ac:dyDescent="0.3">
      <c r="A29" s="1" t="s">
        <v>107</v>
      </c>
      <c r="B29" s="1" t="s">
        <v>110</v>
      </c>
      <c r="C29" s="1" t="s">
        <v>114</v>
      </c>
      <c r="D29" s="11">
        <v>4</v>
      </c>
      <c r="E29" s="11">
        <v>1</v>
      </c>
      <c r="F29" s="1">
        <v>160</v>
      </c>
      <c r="G29" s="11">
        <f t="shared" si="2"/>
        <v>855000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B05A4-BAE7-4D52-B82E-D7BAB690EC32}">
  <dimension ref="A1:I34"/>
  <sheetViews>
    <sheetView zoomScaleNormal="100" workbookViewId="0">
      <selection activeCell="M14" sqref="M14"/>
    </sheetView>
  </sheetViews>
  <sheetFormatPr defaultRowHeight="16.5" x14ac:dyDescent="0.3"/>
  <cols>
    <col min="3" max="3" width="11.875" bestFit="1" customWidth="1"/>
    <col min="5" max="5" width="10.875" bestFit="1" customWidth="1"/>
    <col min="6" max="6" width="12" customWidth="1"/>
    <col min="7" max="7" width="13" bestFit="1" customWidth="1"/>
    <col min="8" max="8" width="11.25" bestFit="1" customWidth="1"/>
    <col min="9" max="9" width="9.375" bestFit="1" customWidth="1"/>
    <col min="10" max="10" width="11.125" bestFit="1" customWidth="1"/>
  </cols>
  <sheetData>
    <row r="1" spans="1:9" x14ac:dyDescent="0.3">
      <c r="A1" t="s">
        <v>0</v>
      </c>
      <c r="G1" t="s">
        <v>1</v>
      </c>
    </row>
    <row r="2" spans="1:9" x14ac:dyDescent="0.3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G2" s="1" t="s">
        <v>7</v>
      </c>
      <c r="H2" s="1" t="s">
        <v>8</v>
      </c>
      <c r="I2" s="1" t="s">
        <v>9</v>
      </c>
    </row>
    <row r="3" spans="1:9" x14ac:dyDescent="0.3">
      <c r="A3" s="1" t="s">
        <v>10</v>
      </c>
      <c r="B3" s="2">
        <v>0.1</v>
      </c>
      <c r="C3" s="2">
        <v>0.2</v>
      </c>
      <c r="D3" s="2">
        <v>0.3</v>
      </c>
      <c r="E3" s="2">
        <v>0.4</v>
      </c>
      <c r="G3" s="3">
        <v>0</v>
      </c>
      <c r="H3" s="4">
        <v>5.0000000000000001E-3</v>
      </c>
      <c r="I3" s="5">
        <v>200000</v>
      </c>
    </row>
    <row r="4" spans="1:9" x14ac:dyDescent="0.3">
      <c r="G4" s="5">
        <v>50000000</v>
      </c>
      <c r="H4" s="4">
        <v>4.0000000000000001E-3</v>
      </c>
      <c r="I4" s="5">
        <v>300000</v>
      </c>
    </row>
    <row r="5" spans="1:9" x14ac:dyDescent="0.3">
      <c r="G5" s="5">
        <v>100000000</v>
      </c>
      <c r="H5" s="4">
        <v>3.0000000000000001E-3</v>
      </c>
      <c r="I5" s="5">
        <v>500000</v>
      </c>
    </row>
    <row r="6" spans="1:9" x14ac:dyDescent="0.3">
      <c r="A6" t="s">
        <v>11</v>
      </c>
      <c r="B6" t="s">
        <v>12</v>
      </c>
    </row>
    <row r="7" spans="1:9" x14ac:dyDescent="0.3">
      <c r="A7" s="1" t="s">
        <v>13</v>
      </c>
      <c r="B7" s="1" t="s">
        <v>14</v>
      </c>
      <c r="C7" s="1" t="s">
        <v>15</v>
      </c>
      <c r="D7" s="1" t="s">
        <v>3</v>
      </c>
      <c r="E7" s="1" t="s">
        <v>4</v>
      </c>
      <c r="F7" s="1" t="s">
        <v>5</v>
      </c>
      <c r="G7" s="1" t="s">
        <v>6</v>
      </c>
      <c r="H7" s="6" t="s">
        <v>16</v>
      </c>
    </row>
    <row r="8" spans="1:9" x14ac:dyDescent="0.3">
      <c r="A8" s="1" t="s">
        <v>17</v>
      </c>
      <c r="B8" s="1" t="s">
        <v>18</v>
      </c>
      <c r="C8" s="1" t="s">
        <v>19</v>
      </c>
      <c r="D8" s="3">
        <v>85</v>
      </c>
      <c r="E8" s="3">
        <v>60</v>
      </c>
      <c r="F8" s="3">
        <v>85</v>
      </c>
      <c r="G8" s="3">
        <v>85</v>
      </c>
      <c r="H8" s="1">
        <f>ROUND(SUMPRODUCT(D8:G8,$B$3:$E$3),0)</f>
        <v>80</v>
      </c>
    </row>
    <row r="9" spans="1:9" x14ac:dyDescent="0.3">
      <c r="A9" s="1" t="s">
        <v>20</v>
      </c>
      <c r="B9" s="1" t="s">
        <v>21</v>
      </c>
      <c r="C9" s="1" t="s">
        <v>19</v>
      </c>
      <c r="D9" s="3">
        <v>90</v>
      </c>
      <c r="E9" s="3">
        <v>93</v>
      </c>
      <c r="F9" s="3">
        <v>71</v>
      </c>
      <c r="G9" s="3">
        <v>90</v>
      </c>
      <c r="H9" s="1">
        <f t="shared" ref="H9:H12" si="0">ROUND(SUMPRODUCT(D9:G9,$B$3:$E$3),0)</f>
        <v>85</v>
      </c>
    </row>
    <row r="10" spans="1:9" x14ac:dyDescent="0.3">
      <c r="A10" s="1" t="s">
        <v>17</v>
      </c>
      <c r="B10" s="1" t="s">
        <v>22</v>
      </c>
      <c r="C10" s="1" t="s">
        <v>23</v>
      </c>
      <c r="D10" s="3">
        <v>75</v>
      </c>
      <c r="E10" s="3">
        <v>80</v>
      </c>
      <c r="F10" s="3">
        <v>71</v>
      </c>
      <c r="G10" s="3">
        <v>60</v>
      </c>
      <c r="H10" s="1">
        <f t="shared" si="0"/>
        <v>69</v>
      </c>
    </row>
    <row r="11" spans="1:9" x14ac:dyDescent="0.3">
      <c r="A11" s="1" t="s">
        <v>24</v>
      </c>
      <c r="B11" s="1" t="s">
        <v>25</v>
      </c>
      <c r="C11" s="1" t="s">
        <v>23</v>
      </c>
      <c r="D11" s="3">
        <v>85</v>
      </c>
      <c r="E11" s="3">
        <v>82</v>
      </c>
      <c r="F11" s="3">
        <v>63</v>
      </c>
      <c r="G11" s="3">
        <v>90</v>
      </c>
      <c r="H11" s="1">
        <f t="shared" si="0"/>
        <v>80</v>
      </c>
    </row>
    <row r="12" spans="1:9" x14ac:dyDescent="0.3">
      <c r="A12" s="1" t="s">
        <v>20</v>
      </c>
      <c r="B12" s="1" t="s">
        <v>26</v>
      </c>
      <c r="C12" s="1" t="s">
        <v>27</v>
      </c>
      <c r="D12" s="3">
        <v>89</v>
      </c>
      <c r="E12" s="3">
        <v>79</v>
      </c>
      <c r="F12" s="3">
        <v>91</v>
      </c>
      <c r="G12" s="3">
        <v>93</v>
      </c>
      <c r="H12" s="1">
        <f t="shared" si="0"/>
        <v>89</v>
      </c>
    </row>
    <row r="14" spans="1:9" x14ac:dyDescent="0.3">
      <c r="A14" t="s">
        <v>28</v>
      </c>
    </row>
    <row r="15" spans="1:9" x14ac:dyDescent="0.3">
      <c r="A15" s="1" t="s">
        <v>29</v>
      </c>
      <c r="B15" s="1" t="s">
        <v>30</v>
      </c>
      <c r="C15" s="1" t="s">
        <v>7</v>
      </c>
      <c r="D15" s="1" t="s">
        <v>31</v>
      </c>
      <c r="E15" s="1" t="s">
        <v>32</v>
      </c>
      <c r="F15" s="1" t="s">
        <v>33</v>
      </c>
      <c r="G15" s="1" t="s">
        <v>34</v>
      </c>
      <c r="H15" s="6" t="s">
        <v>35</v>
      </c>
    </row>
    <row r="16" spans="1:9" x14ac:dyDescent="0.3">
      <c r="A16" s="1" t="s">
        <v>36</v>
      </c>
      <c r="B16" s="1" t="s">
        <v>37</v>
      </c>
      <c r="C16" s="5">
        <v>25000000</v>
      </c>
      <c r="D16" s="3">
        <v>398</v>
      </c>
      <c r="E16" s="5">
        <v>770000</v>
      </c>
      <c r="F16" s="7">
        <v>44796</v>
      </c>
      <c r="G16" s="7">
        <v>45161</v>
      </c>
      <c r="H16" s="5">
        <f>MIN(C16*VLOOKUP(C16,$G$3:$I$5,2),VLOOKUP(C16,$G$3:$I$5,3))</f>
        <v>125000</v>
      </c>
    </row>
    <row r="17" spans="1:8" x14ac:dyDescent="0.3">
      <c r="A17" s="1" t="s">
        <v>38</v>
      </c>
      <c r="B17" s="1" t="s">
        <v>39</v>
      </c>
      <c r="C17" s="5">
        <v>80000000</v>
      </c>
      <c r="D17" s="3">
        <v>107.6</v>
      </c>
      <c r="E17" s="5">
        <v>550000</v>
      </c>
      <c r="F17" s="7">
        <v>44125</v>
      </c>
      <c r="G17" s="7">
        <v>45220</v>
      </c>
      <c r="H17" s="5">
        <f t="shared" ref="H17:H20" si="1">MIN(C17*VLOOKUP(C17,$G$3:$I$5,2),VLOOKUP(C17,$G$3:$I$5,3))</f>
        <v>300000</v>
      </c>
    </row>
    <row r="18" spans="1:8" x14ac:dyDescent="0.3">
      <c r="A18" s="1" t="s">
        <v>40</v>
      </c>
      <c r="B18" s="1" t="s">
        <v>41</v>
      </c>
      <c r="C18" s="5">
        <v>30000000</v>
      </c>
      <c r="D18" s="3">
        <v>134</v>
      </c>
      <c r="E18" s="5">
        <v>495000</v>
      </c>
      <c r="F18" s="7">
        <v>44926</v>
      </c>
      <c r="G18" s="7">
        <v>45291</v>
      </c>
      <c r="H18" s="5">
        <f t="shared" si="1"/>
        <v>150000</v>
      </c>
    </row>
    <row r="19" spans="1:8" x14ac:dyDescent="0.3">
      <c r="A19" s="1" t="s">
        <v>42</v>
      </c>
      <c r="B19" s="1" t="s">
        <v>43</v>
      </c>
      <c r="C19" s="5">
        <v>25000000</v>
      </c>
      <c r="D19" s="3">
        <v>84.5</v>
      </c>
      <c r="E19" s="5">
        <v>450000</v>
      </c>
      <c r="F19" s="7">
        <v>44378</v>
      </c>
      <c r="G19" s="7">
        <v>45474</v>
      </c>
      <c r="H19" s="5">
        <f t="shared" si="1"/>
        <v>125000</v>
      </c>
    </row>
    <row r="20" spans="1:8" x14ac:dyDescent="0.3">
      <c r="A20" s="1" t="s">
        <v>38</v>
      </c>
      <c r="B20" s="1" t="s">
        <v>39</v>
      </c>
      <c r="C20" s="5">
        <v>10000000</v>
      </c>
      <c r="D20" s="3">
        <v>101</v>
      </c>
      <c r="E20" s="5">
        <v>1650000</v>
      </c>
      <c r="F20" s="7">
        <v>45162</v>
      </c>
      <c r="G20" s="7">
        <v>45528</v>
      </c>
      <c r="H20" s="5">
        <f t="shared" si="1"/>
        <v>50000</v>
      </c>
    </row>
    <row r="22" spans="1:8" x14ac:dyDescent="0.3">
      <c r="A22" t="s">
        <v>44</v>
      </c>
    </row>
    <row r="23" spans="1:8" x14ac:dyDescent="0.3">
      <c r="A23" s="13" t="s">
        <v>45</v>
      </c>
      <c r="B23" s="13"/>
      <c r="C23" s="13"/>
      <c r="D23" s="13"/>
      <c r="E23" s="13"/>
      <c r="F23" t="s">
        <v>46</v>
      </c>
    </row>
    <row r="24" spans="1:8" x14ac:dyDescent="0.3">
      <c r="A24" s="1" t="s">
        <v>47</v>
      </c>
      <c r="B24" s="1" t="s">
        <v>48</v>
      </c>
      <c r="C24" s="1" t="s">
        <v>49</v>
      </c>
      <c r="D24" s="1" t="s">
        <v>50</v>
      </c>
      <c r="E24" s="1" t="s">
        <v>51</v>
      </c>
      <c r="F24" s="1" t="s">
        <v>52</v>
      </c>
    </row>
    <row r="25" spans="1:8" x14ac:dyDescent="0.3">
      <c r="A25" s="1" t="s">
        <v>53</v>
      </c>
      <c r="B25" s="1" t="s">
        <v>54</v>
      </c>
      <c r="C25" s="1" t="s">
        <v>55</v>
      </c>
      <c r="D25" s="8">
        <v>35</v>
      </c>
      <c r="E25" s="8">
        <v>1200</v>
      </c>
      <c r="F25" s="9">
        <v>0.7</v>
      </c>
    </row>
    <row r="26" spans="1:8" x14ac:dyDescent="0.3">
      <c r="A26" s="1" t="s">
        <v>56</v>
      </c>
      <c r="B26" s="1" t="s">
        <v>54</v>
      </c>
      <c r="C26" s="1" t="s">
        <v>57</v>
      </c>
      <c r="D26" s="8">
        <v>60</v>
      </c>
      <c r="E26" s="8">
        <v>800</v>
      </c>
      <c r="F26" s="9">
        <v>0.6</v>
      </c>
    </row>
    <row r="27" spans="1:8" x14ac:dyDescent="0.3">
      <c r="A27" s="1" t="s">
        <v>58</v>
      </c>
      <c r="B27" s="1" t="s">
        <v>54</v>
      </c>
      <c r="C27" s="1" t="s">
        <v>59</v>
      </c>
      <c r="D27" s="8">
        <v>120</v>
      </c>
      <c r="E27" s="8">
        <v>600</v>
      </c>
      <c r="F27" s="9">
        <v>0.55000000000000004</v>
      </c>
    </row>
    <row r="28" spans="1:8" x14ac:dyDescent="0.3">
      <c r="A28" s="1" t="s">
        <v>60</v>
      </c>
      <c r="B28" s="1" t="s">
        <v>61</v>
      </c>
      <c r="C28" s="1" t="s">
        <v>57</v>
      </c>
      <c r="D28" s="8">
        <v>10</v>
      </c>
      <c r="E28" s="8">
        <v>800</v>
      </c>
      <c r="F28" s="9">
        <v>0.7</v>
      </c>
    </row>
    <row r="29" spans="1:8" x14ac:dyDescent="0.3">
      <c r="A29" s="1" t="s">
        <v>60</v>
      </c>
      <c r="B29" s="1" t="s">
        <v>61</v>
      </c>
      <c r="C29" s="1" t="s">
        <v>57</v>
      </c>
      <c r="D29" s="8">
        <v>34</v>
      </c>
      <c r="E29" s="8">
        <v>1200</v>
      </c>
      <c r="F29" s="9">
        <v>0.6</v>
      </c>
    </row>
    <row r="30" spans="1:8" x14ac:dyDescent="0.3">
      <c r="A30" s="1" t="s">
        <v>62</v>
      </c>
      <c r="B30" s="1" t="s">
        <v>61</v>
      </c>
      <c r="C30" s="1" t="s">
        <v>59</v>
      </c>
      <c r="D30" s="8">
        <v>60</v>
      </c>
      <c r="E30" s="8">
        <v>800</v>
      </c>
      <c r="F30" s="9">
        <v>0.55000000000000004</v>
      </c>
    </row>
    <row r="31" spans="1:8" x14ac:dyDescent="0.3">
      <c r="A31" s="1" t="s">
        <v>63</v>
      </c>
      <c r="B31" s="1" t="s">
        <v>64</v>
      </c>
      <c r="C31" s="1" t="s">
        <v>55</v>
      </c>
      <c r="D31" s="8">
        <v>25</v>
      </c>
      <c r="E31" s="8">
        <v>600</v>
      </c>
      <c r="F31" s="9">
        <v>0.7</v>
      </c>
    </row>
    <row r="32" spans="1:8" x14ac:dyDescent="0.3">
      <c r="A32" s="1" t="s">
        <v>65</v>
      </c>
      <c r="B32" s="1" t="s">
        <v>64</v>
      </c>
      <c r="C32" s="1" t="s">
        <v>57</v>
      </c>
      <c r="D32" s="8">
        <v>54</v>
      </c>
      <c r="E32" s="8">
        <v>800</v>
      </c>
      <c r="F32" s="9">
        <v>0.6</v>
      </c>
    </row>
    <row r="33" spans="1:6" x14ac:dyDescent="0.3">
      <c r="A33" s="1" t="s">
        <v>66</v>
      </c>
      <c r="B33" s="1" t="s">
        <v>64</v>
      </c>
      <c r="C33" s="1" t="s">
        <v>55</v>
      </c>
      <c r="D33" s="8">
        <v>110</v>
      </c>
      <c r="E33" s="8">
        <v>500</v>
      </c>
      <c r="F33" s="9">
        <v>0.55000000000000004</v>
      </c>
    </row>
    <row r="34" spans="1:6" x14ac:dyDescent="0.3">
      <c r="A34" s="14" t="s">
        <v>67</v>
      </c>
      <c r="B34" s="14"/>
      <c r="C34" s="14"/>
      <c r="D34" s="8">
        <f>SUMIF($C$25:$C$33,"고급형",D25:D33)/COUNTIF($C$25:$C$33,"고급형")</f>
        <v>56.666666666666664</v>
      </c>
      <c r="E34" s="8">
        <f t="shared" ref="E34:F34" si="2">SUMIF($C$25:$C$33,"고급형",E25:E33)/COUNTIF($C$25:$C$33,"고급형")</f>
        <v>766.66666666666663</v>
      </c>
      <c r="F34" s="9">
        <f t="shared" si="2"/>
        <v>0.65</v>
      </c>
    </row>
  </sheetData>
  <mergeCells count="2">
    <mergeCell ref="A23:E23"/>
    <mergeCell ref="A34:C3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2023-05-11T10:13:45Z</dcterms:created>
  <dcterms:modified xsi:type="dcterms:W3CDTF">2023-09-12T10:54:46Z</dcterms:modified>
</cp:coreProperties>
</file>