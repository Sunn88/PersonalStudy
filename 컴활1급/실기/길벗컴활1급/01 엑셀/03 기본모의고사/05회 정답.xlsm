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0DD3E9AF-5741-4FF0-B169-94B5D287CC0C}" xr6:coauthVersionLast="47" xr6:coauthVersionMax="47" xr10:uidLastSave="{00000000-0000-0000-0000-000000000000}"/>
  <bookViews>
    <workbookView xWindow="135" yWindow="135" windowWidth="20355" windowHeight="15870" tabRatio="791" xr2:uid="{0E0FC216-47B2-48BC-BA16-25062CF71296}"/>
  </bookViews>
  <sheets>
    <sheet name="기본작업-1" sheetId="9" r:id="rId1"/>
    <sheet name="기본작업-2" sheetId="8" r:id="rId2"/>
    <sheet name="계산작업" sheetId="2" r:id="rId3"/>
    <sheet name="유통부대리" sheetId="14" r:id="rId4"/>
    <sheet name="분석작업-1" sheetId="3" r:id="rId5"/>
    <sheet name="시나리오 요약" sheetId="11" r:id="rId6"/>
    <sheet name="분석작업-2" sheetId="4" r:id="rId7"/>
    <sheet name="기타작업-1" sheetId="5" r:id="rId8"/>
    <sheet name="기타작업-2" sheetId="6" r:id="rId9"/>
    <sheet name="기타작업-3" sheetId="7" r:id="rId10"/>
  </sheets>
  <functionGroups builtInGroupCount="19"/>
  <definedNames>
    <definedName name="_xlnm._FilterDatabase" localSheetId="0" hidden="1">'기본작업-1'!$A$2:$H$30</definedName>
    <definedName name="_xlnm.Criteria" localSheetId="0">'기본작업-1'!$A$32:$A$33</definedName>
    <definedName name="_xlnm.Extract" localSheetId="0">'기본작업-1'!$A$35:$H$35</definedName>
    <definedName name="_xlnm.Print_Titles" localSheetId="1">'기본작업-2'!$1:$1</definedName>
    <definedName name="판매형태">'분석작업-2'!$A$15:$A$16</definedName>
  </definedNames>
  <calcPr calcId="191029"/>
  <pivotCaches>
    <pivotCache cacheId="4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6" i="2" l="1"/>
  <c r="C4" i="2"/>
  <c r="C5" i="2"/>
  <c r="C3" i="2"/>
  <c r="F37" i="2"/>
  <c r="F38" i="2"/>
  <c r="F39" i="2"/>
  <c r="F4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A33" i="9"/>
  <c r="E10" i="2"/>
  <c r="G10" i="2"/>
  <c r="B31" i="2" a="1"/>
  <c r="B31" i="2" s="1"/>
  <c r="C31" i="2" a="1"/>
  <c r="C31" i="2"/>
  <c r="D31" i="2" a="1"/>
  <c r="D31" i="2" s="1"/>
  <c r="E31" i="2" a="1"/>
  <c r="E31" i="2"/>
  <c r="B32" i="2" a="1"/>
  <c r="B32" i="2" s="1"/>
  <c r="C32" i="2" a="1"/>
  <c r="C32" i="2"/>
  <c r="D32" i="2" a="1"/>
  <c r="D32" i="2" s="1"/>
  <c r="E32" i="2" a="1"/>
  <c r="E32" i="2" s="1"/>
  <c r="E30" i="2" a="1"/>
  <c r="E30" i="2" s="1"/>
  <c r="D30" i="2" a="1"/>
  <c r="D30" i="2" s="1"/>
  <c r="C30" i="2" a="1"/>
  <c r="C30" i="2" s="1"/>
  <c r="B30" i="2" a="1"/>
  <c r="B30" i="2" s="1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B4" i="2" a="1"/>
  <c r="B4" i="2" s="1"/>
  <c r="B5" i="2" a="1"/>
  <c r="B5" i="2" s="1"/>
  <c r="C10" i="2"/>
  <c r="B3" i="2" a="1"/>
  <c r="B3" i="2" s="1"/>
  <c r="H11" i="2" a="1"/>
  <c r="H13" i="2" a="1"/>
  <c r="H15" i="2" a="1"/>
  <c r="H17" i="2" a="1"/>
  <c r="H19" i="2" a="1"/>
  <c r="H21" i="2" a="1"/>
  <c r="H23" i="2" a="1"/>
  <c r="H25" i="2" a="1"/>
  <c r="H12" i="2" a="1"/>
  <c r="H14" i="2" a="1"/>
  <c r="H16" i="2" a="1"/>
  <c r="H18" i="2" a="1"/>
  <c r="H20" i="2" a="1"/>
  <c r="H22" i="2" a="1"/>
  <c r="H24" i="2" a="1"/>
  <c r="H10" i="2" a="1"/>
  <c r="H24" i="2" l="1"/>
  <c r="H22" i="2"/>
  <c r="H20" i="2"/>
  <c r="H18" i="2"/>
  <c r="H16" i="2"/>
  <c r="H14" i="2"/>
  <c r="H12" i="2"/>
  <c r="H25" i="2"/>
  <c r="H23" i="2"/>
  <c r="H21" i="2"/>
  <c r="H19" i="2"/>
  <c r="H17" i="2"/>
  <c r="H15" i="2"/>
  <c r="H13" i="2"/>
  <c r="H11" i="2"/>
  <c r="H10" i="2"/>
  <c r="H4" i="5"/>
  <c r="H5" i="5"/>
  <c r="H6" i="5"/>
  <c r="H7" i="5"/>
  <c r="H8" i="5"/>
  <c r="H9" i="5"/>
  <c r="H10" i="5"/>
  <c r="H11" i="5"/>
  <c r="E4" i="4"/>
  <c r="E5" i="4"/>
  <c r="E6" i="4"/>
  <c r="E7" i="4"/>
  <c r="E8" i="4"/>
  <c r="E9" i="4"/>
  <c r="E10" i="4"/>
  <c r="E11" i="4"/>
  <c r="C12" i="4"/>
  <c r="D12" i="4"/>
  <c r="E1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A2273B-69E6-4103-8BC2-1A5F9627BC9C}" name="MS Access Database_Query" type="1" refreshedVersion="8" background="1" saveData="1">
    <dbPr connection="DSN=MS Access Database;DBQ=C:\길벗컴활1급\01 엑셀\03 기본모의고사\사원관리.accdb;DefaultDir=C:\길벗컴활1급\01 엑셀\03 기본모의고사;DriverId=25;FIL=MS Access;MaxBufferSize=2048;PageTimeout=5;" command="SELECT 사원명부.이름, 사원명부.입사일, 사원명부.부서, 사원명부.직위, 사원명부.기본급_x000d__x000a_FROM `C:\길벗컴활1급\01 엑셀\03 기본모의고사\사원관리.accdb`.사원명부 사원명부_x000d__x000a_WHERE (사원명부.입사일&gt;={ts '2021-01-01 00:00:00'} And 사원명부.입사일&lt;={ts '2021-12-31 00:00:00'})"/>
  </connection>
  <connection id="2" xr16:uid="{2DDAA615-7ADF-4E1C-9ED2-AA75F15F43EB}" sourceFile="C:\길벗컴활1급\01 엑셀\03 기본모의고사\사원관리.accdb" keepAlive="1" name="사원관리" type="5" refreshedVersion="7" background="1">
    <dbPr connection="Provider=Microsoft.ACE.OLEDB.12.0;User ID=Admin;Data Source=C:\길벗컴활1급\01 엑셀\03 기본모의고사\사원관리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사원명부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<sst xmlns="http://schemas.openxmlformats.org/spreadsheetml/2006/main" count="427" uniqueCount="185">
  <si>
    <t>[표1]</t>
  </si>
  <si>
    <t>매출번호</t>
  </si>
  <si>
    <t>순번</t>
  </si>
  <si>
    <t>거래처명</t>
  </si>
  <si>
    <t>제품명</t>
  </si>
  <si>
    <t>수량</t>
  </si>
  <si>
    <t>단가</t>
  </si>
  <si>
    <t>공급가액</t>
  </si>
  <si>
    <t>세액</t>
  </si>
  <si>
    <t>겔럭시게이트</t>
  </si>
  <si>
    <t>모니터</t>
  </si>
  <si>
    <t>한솔CSN</t>
  </si>
  <si>
    <t>키보드</t>
  </si>
  <si>
    <t>프린터</t>
  </si>
  <si>
    <t>통판뉴스</t>
  </si>
  <si>
    <t>한솔기획</t>
  </si>
  <si>
    <t>헤드셋</t>
  </si>
  <si>
    <t>RG홈쇼핑</t>
  </si>
  <si>
    <t>마우스</t>
  </si>
  <si>
    <t>스캐너</t>
  </si>
  <si>
    <t>가나통상</t>
  </si>
  <si>
    <t>즐겨찾기</t>
  </si>
  <si>
    <t>한국위성방송</t>
  </si>
  <si>
    <t>온누리홈쇼핑</t>
  </si>
  <si>
    <t>스피커</t>
  </si>
  <si>
    <t>토너</t>
  </si>
  <si>
    <t>한솔기획</t>
    <phoneticPr fontId="1" type="noConversion"/>
  </si>
  <si>
    <t>합계</t>
  </si>
  <si>
    <t>코오롱홈쇼핑</t>
  </si>
  <si>
    <t>여수홈쇼핑</t>
  </si>
  <si>
    <t>영상코퍼레이션</t>
  </si>
  <si>
    <t>[표2] 코드표</t>
  </si>
  <si>
    <t>상품명</t>
  </si>
  <si>
    <t>두번째로 큰 판매수량</t>
  </si>
  <si>
    <t>판매수량 20 이상 개수</t>
  </si>
  <si>
    <t>코드</t>
  </si>
  <si>
    <t>녹음기</t>
  </si>
  <si>
    <t>다</t>
  </si>
  <si>
    <t>세탁기</t>
  </si>
  <si>
    <t>기타</t>
  </si>
  <si>
    <t>카세트</t>
  </si>
  <si>
    <t>[표3]</t>
  </si>
  <si>
    <t>가전제품 판매현황</t>
  </si>
  <si>
    <t>상품코드</t>
  </si>
  <si>
    <t>변경코드</t>
  </si>
  <si>
    <t>판매수량</t>
  </si>
  <si>
    <t>판매단가</t>
  </si>
  <si>
    <t>할인율</t>
  </si>
  <si>
    <t>할인금액</t>
  </si>
  <si>
    <t>생산단가</t>
  </si>
  <si>
    <t>가001</t>
  </si>
  <si>
    <t>나002</t>
  </si>
  <si>
    <t>가011</t>
  </si>
  <si>
    <t>가021</t>
  </si>
  <si>
    <t>다003</t>
  </si>
  <si>
    <t>나004</t>
  </si>
  <si>
    <t>다002</t>
  </si>
  <si>
    <t>가005</t>
  </si>
  <si>
    <t>가052</t>
  </si>
  <si>
    <t>가351</t>
  </si>
  <si>
    <t>나154</t>
  </si>
  <si>
    <t>다502</t>
  </si>
  <si>
    <t>가125</t>
  </si>
  <si>
    <t>가253</t>
  </si>
  <si>
    <t>다244</t>
  </si>
  <si>
    <t>[표4]</t>
  </si>
  <si>
    <t>상품</t>
  </si>
  <si>
    <t>[표5]</t>
  </si>
  <si>
    <t>회사 비품 현황</t>
  </si>
  <si>
    <t>품목</t>
  </si>
  <si>
    <t>구입날짜</t>
  </si>
  <si>
    <t>구입액</t>
  </si>
  <si>
    <t>잔존가치</t>
  </si>
  <si>
    <t>수명년수</t>
  </si>
  <si>
    <t>컴퓨터</t>
  </si>
  <si>
    <t>냉장고</t>
  </si>
  <si>
    <t>정수기</t>
  </si>
  <si>
    <t>팩스</t>
  </si>
  <si>
    <t>판매일</t>
  </si>
  <si>
    <t>판매형태</t>
  </si>
  <si>
    <t>납품수량</t>
  </si>
  <si>
    <t>반품수량</t>
  </si>
  <si>
    <t>매출액</t>
  </si>
  <si>
    <t>완제품</t>
  </si>
  <si>
    <t>부품</t>
  </si>
  <si>
    <t>단가표</t>
  </si>
  <si>
    <t>[표1]</t>
    <phoneticPr fontId="1" type="noConversion"/>
  </si>
  <si>
    <t>상반기 제품 생산 및 보유 현황</t>
  </si>
  <si>
    <t>단가단위 : 천원</t>
  </si>
  <si>
    <t>부서</t>
  </si>
  <si>
    <t>최대 생산량</t>
  </si>
  <si>
    <t>생산량</t>
  </si>
  <si>
    <t>불량품수</t>
  </si>
  <si>
    <t>재고량</t>
  </si>
  <si>
    <t>총보유량</t>
  </si>
  <si>
    <t>CPU</t>
  </si>
  <si>
    <t>1팀</t>
  </si>
  <si>
    <t>HDD</t>
  </si>
  <si>
    <t>FDD</t>
  </si>
  <si>
    <t>3팀</t>
  </si>
  <si>
    <t>2팀</t>
  </si>
  <si>
    <t>CD-ROM</t>
  </si>
  <si>
    <t>결근</t>
  </si>
  <si>
    <t>지각</t>
  </si>
  <si>
    <t>조퇴</t>
  </si>
  <si>
    <t>최경원</t>
  </si>
  <si>
    <t>이정우</t>
  </si>
  <si>
    <t>한고은</t>
  </si>
  <si>
    <t>차형섭</t>
  </si>
  <si>
    <t>홍진영</t>
  </si>
  <si>
    <t>이선미</t>
  </si>
  <si>
    <t>황재윤</t>
  </si>
  <si>
    <t>김종숙</t>
  </si>
  <si>
    <t>김은수</t>
  </si>
  <si>
    <t>사원명</t>
    <phoneticPr fontId="1" type="noConversion"/>
  </si>
  <si>
    <t>스포츠센터 이용 요금</t>
  </si>
  <si>
    <t>고객번호</t>
  </si>
  <si>
    <t>성별</t>
  </si>
  <si>
    <t>종목</t>
  </si>
  <si>
    <t>사용시간</t>
  </si>
  <si>
    <t>금액</t>
  </si>
  <si>
    <t>남</t>
  </si>
  <si>
    <t>스쿼시</t>
  </si>
  <si>
    <t>여</t>
  </si>
  <si>
    <t>골프</t>
  </si>
  <si>
    <t>헬스</t>
  </si>
  <si>
    <t>에어로빅</t>
  </si>
  <si>
    <t>수영</t>
  </si>
  <si>
    <t>볼링</t>
  </si>
  <si>
    <t>조건</t>
    <phoneticPr fontId="1" type="noConversion"/>
  </si>
  <si>
    <t>감가상각액</t>
    <phoneticPr fontId="1" type="noConversion"/>
  </si>
  <si>
    <t>2023년 6월 30일 현재</t>
    <phoneticPr fontId="1" type="noConversion"/>
  </si>
  <si>
    <t>이름</t>
  </si>
  <si>
    <t>(모두)</t>
  </si>
  <si>
    <t>기획부</t>
  </si>
  <si>
    <t>인사부</t>
  </si>
  <si>
    <t>판촉부</t>
  </si>
  <si>
    <t>대리</t>
  </si>
  <si>
    <t>주임</t>
  </si>
  <si>
    <t>합계 : 기본급</t>
  </si>
  <si>
    <t>직위</t>
  </si>
  <si>
    <t>값</t>
  </si>
  <si>
    <t>합계 : 상여금</t>
  </si>
  <si>
    <t>유통부</t>
  </si>
  <si>
    <t>광고부</t>
  </si>
  <si>
    <t>송명근</t>
  </si>
  <si>
    <t>입사일</t>
  </si>
  <si>
    <t>기본급</t>
  </si>
  <si>
    <t>$B$15</t>
  </si>
  <si>
    <t>$B$16</t>
  </si>
  <si>
    <t>$E$12</t>
  </si>
  <si>
    <t>단가 증가</t>
  </si>
  <si>
    <t>단가 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</si>
  <si>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</si>
  <si>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</si>
  <si>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</si>
  <si>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</si>
  <si>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</si>
  <si>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</si>
  <si>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</si>
  <si>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경리부</t>
  </si>
  <si>
    <t>디자인</t>
  </si>
  <si>
    <t>영업부</t>
  </si>
  <si>
    <t>총무부</t>
  </si>
  <si>
    <t>사원</t>
  </si>
  <si>
    <t>사번</t>
  </si>
  <si>
    <t>주민등록번호</t>
  </si>
  <si>
    <t>연락처</t>
  </si>
  <si>
    <t>생일</t>
  </si>
  <si>
    <t>부양가족수</t>
  </si>
  <si>
    <t>수당</t>
  </si>
  <si>
    <t>2017-0024</t>
  </si>
  <si>
    <t>임종국</t>
  </si>
  <si>
    <t>721126-1691510</t>
  </si>
  <si>
    <t>378-8746</t>
  </si>
  <si>
    <t>11월26일</t>
  </si>
  <si>
    <t>2021-0015</t>
  </si>
  <si>
    <t>741109-1270948</t>
  </si>
  <si>
    <t>800-6543</t>
  </si>
  <si>
    <t>11월09일</t>
  </si>
  <si>
    <t>2018-0005</t>
  </si>
  <si>
    <t>이춘식</t>
  </si>
  <si>
    <t>770204-1676086</t>
  </si>
  <si>
    <t>945-5199</t>
  </si>
  <si>
    <t>02월04일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</si>
</sst>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&quot;₩&quot;#,##0;&quot;-\&quot;#,##0"/>
    <numFmt numFmtId="177" formatCode="0&quot;이상&quot;"/>
    <numFmt numFmtId="178" formatCode="mm&quot;월&quot;\ dd&quot;일&quot;"/>
    <numFmt numFmtId="179" formatCode="#,##0&quot;원&quot;"/>
    <numFmt numFmtId="180" formatCode=";;&quot;◆&quot;"/>
    <numFmt numFmtId="181" formatCode="@&quot;님&quot;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/>
  </cellStyleXfs>
  <cellXfs count="42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2" fontId="0" fillId="0" borderId="0" xfId="2" applyFont="1">
      <alignment vertical="center"/>
    </xf>
    <xf numFmtId="176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9" fontId="0" fillId="0" borderId="1" xfId="3" applyFon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7" fontId="0" fillId="3" borderId="5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0" fontId="7" fillId="0" borderId="1" xfId="4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3" fontId="0" fillId="0" borderId="0" xfId="0" applyNumberFormat="1">
      <alignment vertical="center"/>
    </xf>
    <xf numFmtId="6" fontId="4" fillId="0" borderId="1" xfId="2" applyNumberFormat="1" applyFont="1" applyFill="1" applyBorder="1" applyAlignment="1"/>
    <xf numFmtId="0" fontId="0" fillId="0" borderId="6" xfId="0" applyBorder="1" applyAlignment="1">
      <alignment horizontal="center"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14" fontId="0" fillId="0" borderId="0" xfId="0" applyNumberFormat="1">
      <alignment vertical="center"/>
    </xf>
    <xf numFmtId="41" fontId="0" fillId="0" borderId="8" xfId="0" applyNumberFormat="1" applyBorder="1">
      <alignment vertical="center"/>
    </xf>
    <xf numFmtId="0" fontId="10" fillId="4" borderId="9" xfId="0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 vertical="center"/>
    </xf>
    <xf numFmtId="0" fontId="10" fillId="4" borderId="7" xfId="0" applyFont="1" applyFill="1" applyBorder="1" applyAlignment="1">
      <alignment horizontal="left" vertical="center"/>
    </xf>
    <xf numFmtId="0" fontId="11" fillId="5" borderId="0" xfId="0" applyFont="1" applyFill="1" applyAlignment="1">
      <alignment horizontal="left" vertical="center"/>
    </xf>
    <xf numFmtId="0" fontId="12" fillId="5" borderId="3" xfId="0" applyFont="1" applyFill="1" applyBorder="1" applyAlignment="1">
      <alignment horizontal="left" vertical="center"/>
    </xf>
    <xf numFmtId="0" fontId="13" fillId="5" borderId="3" xfId="0" applyFont="1" applyFill="1" applyBorder="1" applyAlignment="1">
      <alignment horizontal="left" vertical="center"/>
    </xf>
    <xf numFmtId="0" fontId="11" fillId="5" borderId="8" xfId="0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right" vertical="center"/>
    </xf>
    <xf numFmtId="0" fontId="9" fillId="4" borderId="9" xfId="0" applyFont="1" applyFill="1" applyBorder="1" applyAlignment="1">
      <alignment horizontal="right" vertical="center"/>
    </xf>
    <xf numFmtId="0" fontId="0" fillId="6" borderId="0" xfId="0" applyFill="1">
      <alignment vertical="center"/>
    </xf>
    <xf numFmtId="0" fontId="14" fillId="0" borderId="0" xfId="0" applyFont="1" applyAlignment="1">
      <alignment vertical="top" wrapText="1"/>
    </xf>
    <xf numFmtId="180" fontId="0" fillId="0" borderId="1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5">
    <cellStyle name="백분율" xfId="3" builtinId="5"/>
    <cellStyle name="쉼표 [0]" xfId="1" builtinId="6"/>
    <cellStyle name="통화 [0]" xfId="2" builtinId="7"/>
    <cellStyle name="표준" xfId="0" builtinId="0"/>
    <cellStyle name="표준 2" xfId="4" xr:uid="{2A0CA505-6667-46FC-9D31-7CA1A901678E}"/>
  </cellStyles>
  <dxfs count="2">
    <dxf>
      <numFmt numFmtId="19" formatCode="yyyy/mm/dd"/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defRPr>
            </a:pPr>
            <a:r>
              <a:rPr lang="en-US" altLang="ko-KR">
                <a:solidFill>
                  <a:schemeClr val="dk1"/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rPr>
              <a:t>1</a:t>
            </a:r>
            <a:r>
              <a:rPr lang="ko-KR" altLang="en-US">
                <a:solidFill>
                  <a:schemeClr val="dk1"/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rPr>
              <a:t>팀 제품 생산 및 보유 현황</a:t>
            </a:r>
            <a:endParaRPr lang="ko-KR" altLang="en-US">
              <a:latin typeface="굴림체" panose="020B0609000101010101" pitchFamily="49" charset="-127"/>
              <a:ea typeface="굴림체" panose="020B0609000101010101" pitchFamily="49" charset="-127"/>
            </a:endParaRPr>
          </a:p>
        </c:rich>
      </c:tx>
      <c:overlay val="0"/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생산량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BB-4BF1-8B78-6CAEBF66478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BB-4BF1-8B78-6CAEBF66478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('기타작업-1'!$A$4:$A$5,'기타작업-1'!$A$8)</c:f>
              <c:strCache>
                <c:ptCount val="3"/>
                <c:pt idx="0">
                  <c:v>CPU</c:v>
                </c:pt>
                <c:pt idx="1">
                  <c:v>HDD</c:v>
                </c:pt>
                <c:pt idx="2">
                  <c:v>프린터</c:v>
                </c:pt>
              </c:strCache>
            </c:strRef>
          </c:cat>
          <c:val>
            <c:numRef>
              <c:f>('기타작업-1'!$E$4:$E$5,'기타작업-1'!$E$8)</c:f>
              <c:numCache>
                <c:formatCode>_(* #,##0_);_(* \(#,##0\);_(* "-"_);_(@_)</c:formatCode>
                <c:ptCount val="3"/>
                <c:pt idx="0">
                  <c:v>1500</c:v>
                </c:pt>
                <c:pt idx="1">
                  <c:v>3500</c:v>
                </c:pt>
                <c:pt idx="2">
                  <c:v>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0B-471F-BFD2-4FFA7EC6BC9A}"/>
            </c:ext>
          </c:extLst>
        </c:ser>
        <c:ser>
          <c:idx val="1"/>
          <c:order val="1"/>
          <c:tx>
            <c:strRef>
              <c:f>'기타작업-1'!$H$3</c:f>
              <c:strCache>
                <c:ptCount val="1"/>
                <c:pt idx="0">
                  <c:v>총보유량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('기타작업-1'!$A$4:$A$5,'기타작업-1'!$A$8)</c:f>
              <c:strCache>
                <c:ptCount val="3"/>
                <c:pt idx="0">
                  <c:v>CPU</c:v>
                </c:pt>
                <c:pt idx="1">
                  <c:v>HDD</c:v>
                </c:pt>
                <c:pt idx="2">
                  <c:v>프린터</c:v>
                </c:pt>
              </c:strCache>
            </c:strRef>
          </c:cat>
          <c:val>
            <c:numRef>
              <c:f>('기타작업-1'!$H$4:$H$5,'기타작업-1'!$H$8)</c:f>
              <c:numCache>
                <c:formatCode>_(* #,##0_);_(* \(#,##0\);_(* "-"_);_(@_)</c:formatCode>
                <c:ptCount val="3"/>
                <c:pt idx="0">
                  <c:v>1600</c:v>
                </c:pt>
                <c:pt idx="1">
                  <c:v>3650</c:v>
                </c:pt>
                <c:pt idx="2">
                  <c:v>4580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0B-471F-BFD2-4FFA7EC6B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4876511"/>
        <c:axId val="1554880351"/>
      </c:lineChart>
      <c:catAx>
        <c:axId val="155487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4880351"/>
        <c:crosses val="autoZero"/>
        <c:auto val="1"/>
        <c:lblAlgn val="ctr"/>
        <c:lblOffset val="100"/>
        <c:noMultiLvlLbl val="0"/>
      </c:catAx>
      <c:valAx>
        <c:axId val="1554880351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단위</a:t>
                </a:r>
                <a:r>
                  <a:rPr lang="en-US" altLang="ko-KR"/>
                  <a:t>:</a:t>
                </a:r>
                <a:r>
                  <a:rPr lang="ko-KR" altLang="en-US"/>
                  <a:t>개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4876511"/>
        <c:crosses val="autoZero"/>
        <c:crossBetween val="between"/>
        <c:majorUnit val="100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solidFill>
          <a:schemeClr val="bg1">
            <a:lumMod val="75000"/>
          </a:schemeClr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1</xdr:rowOff>
    </xdr:from>
    <xdr:to>
      <xdr:col>8</xdr:col>
      <xdr:colOff>0</xdr:colOff>
      <xdr:row>28</xdr:row>
      <xdr:rowOff>1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8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존칭적용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123825</xdr:rowOff>
        </xdr:from>
        <xdr:to>
          <xdr:col>6</xdr:col>
          <xdr:colOff>523875</xdr:colOff>
          <xdr:row>2</xdr:row>
          <xdr:rowOff>28575</xdr:rowOff>
        </xdr:to>
        <xdr:sp macro="" textlink="">
          <xdr:nvSpPr>
            <xdr:cNvPr id="8193" name="cmd요금계산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5.745766782406" backgroundQuery="1" createdVersion="7" refreshedVersion="7" minRefreshableVersion="3" recordCount="30" xr:uid="{BB736437-9F94-4E7F-AE46-6CA84F8F1141}">
  <cacheSource type="external" connectionId="2"/>
  <cacheFields count="12">
    <cacheField name="사번" numFmtId="0">
      <sharedItems count="30">
        <s v="2017-0001"/>
        <s v="2022-0002"/>
        <s v="2021-0003"/>
        <s v="2017-0004"/>
        <s v="2018-0005"/>
        <s v="2018-0006"/>
        <s v="2023-0007"/>
        <s v="2021-0008"/>
        <s v="2018-0009"/>
        <s v="2023-0010"/>
        <s v="2023-0011"/>
        <s v="2023-0012"/>
        <s v="2023-0013"/>
        <s v="2021-0014"/>
        <s v="2021-0015"/>
        <s v="2021-0016"/>
        <s v="2023-0017"/>
        <s v="2018-0018"/>
        <s v="2023-0019"/>
        <s v="2023-0020"/>
        <s v="2023-0021"/>
        <s v="2023-0022"/>
        <s v="2017-0023"/>
        <s v="2017-0024"/>
        <s v="2023-0025"/>
        <s v="2020-0026"/>
        <s v="2021-0027"/>
        <s v="2023-0028"/>
        <s v="2023-0029"/>
        <s v="2020-0030"/>
      </sharedItems>
    </cacheField>
    <cacheField name="이름" numFmtId="0">
      <sharedItems count="30">
        <s v="김민재"/>
        <s v="이은희"/>
        <s v="신영희"/>
        <s v="박영자"/>
        <s v="이춘식"/>
        <s v="김인수"/>
        <s v="성석제"/>
        <s v="이문열"/>
        <s v="양재천"/>
        <s v="박용현"/>
        <s v="김평식"/>
        <s v="이광석"/>
        <s v="김민환"/>
        <s v="이출하"/>
        <s v="송명근"/>
        <s v="송연정"/>
        <s v="김성희"/>
        <s v="고영욱"/>
        <s v="박은실"/>
        <s v="신성호"/>
        <s v="설영범"/>
        <s v="김영민"/>
        <s v="문선희"/>
        <s v="임종국"/>
        <s v="이완호"/>
        <s v="김익태"/>
        <s v="문영래"/>
        <s v="남기원"/>
        <s v="황유진"/>
        <s v="김동길"/>
      </sharedItems>
    </cacheField>
    <cacheField name="주민등록번호" numFmtId="0">
      <sharedItems count="30">
        <s v="760320-1511562"/>
        <s v="740828-2181541"/>
        <s v="760310-2579250"/>
        <s v="730806-2307650"/>
        <s v="770204-1676086"/>
        <s v="800418-1618106"/>
        <s v="700125-1384267"/>
        <s v="700326-1749952"/>
        <s v="770730-1858178"/>
        <s v="780409-1157414"/>
        <s v="770619-1534390"/>
        <s v="720815-1841910"/>
        <s v="720419-1201665"/>
        <s v="710916-1722044"/>
        <s v="741109-1270948"/>
        <s v="711123-2263604"/>
        <s v="720724-2385375"/>
        <s v="761201-1529572"/>
        <s v="711220-2590268"/>
        <s v="761115-1450112"/>
        <s v="710611-1163137"/>
        <s v="791025-1332578"/>
        <s v="740923-2343679"/>
        <s v="721126-1691510"/>
        <s v="711117-1823779"/>
        <s v="701202-1298639"/>
        <s v="770528-1137508"/>
        <s v="740705-1472879"/>
        <s v="710725-2731128"/>
        <s v="731011-1790333"/>
      </sharedItems>
    </cacheField>
    <cacheField name="연락처" numFmtId="0">
      <sharedItems count="30">
        <s v="867-8567"/>
        <s v="556-0945"/>
        <s v="890-4569"/>
        <s v="834-5734"/>
        <s v="945-5199"/>
        <s v="523-1908"/>
        <s v="485-6286"/>
        <s v="635-6711"/>
        <s v="894-7580"/>
        <s v="835-6745"/>
        <s v="856-7835"/>
        <s v="890-5763"/>
        <s v="819-0055"/>
        <s v="846-7856"/>
        <s v="800-6543"/>
        <s v="354-8723"/>
        <s v="785-0678"/>
        <s v="834-5634"/>
        <s v="552-2756"/>
        <s v="734-7520"/>
        <s v="734-5910"/>
        <s v="756-7856"/>
        <s v="895-6758"/>
        <s v="378-8746"/>
        <s v="785-7456"/>
        <s v="905-6845"/>
        <s v="245-8800"/>
        <s v="934-3355"/>
        <s v="574-6729"/>
        <s v="648-6538"/>
      </sharedItems>
    </cacheField>
    <cacheField name="입사일" numFmtId="0">
      <sharedItems containsSemiMixedTypes="0" containsNonDate="0" containsDate="1" containsString="0" minDate="2017-04-08T00:00:00" maxDate="2023-10-21T00:00:00" count="30">
        <d v="2017-11-05T00:00:00"/>
        <d v="2022-03-11T00:00:00"/>
        <d v="2021-04-15T00:00:00"/>
        <d v="2017-09-24T00:00:00"/>
        <d v="2018-03-15T00:00:00"/>
        <d v="2018-11-07T00:00:00"/>
        <d v="2023-02-10T00:00:00"/>
        <d v="2021-02-17T00:00:00"/>
        <d v="2018-11-10T00:00:00"/>
        <d v="2023-06-19T00:00:00"/>
        <d v="2023-10-20T00:00:00"/>
        <d v="2023-08-21T00:00:00"/>
        <d v="2023-06-23T00:00:00"/>
        <d v="2021-07-04T00:00:00"/>
        <d v="2021-09-23T00:00:00"/>
        <d v="2021-02-27T00:00:00"/>
        <d v="2023-10-04T00:00:00"/>
        <d v="2018-08-23T00:00:00"/>
        <d v="2023-04-02T00:00:00"/>
        <d v="2023-01-05T00:00:00"/>
        <d v="2023-01-01T00:00:00"/>
        <d v="2023-09-17T00:00:00"/>
        <d v="2017-04-08T00:00:00"/>
        <d v="2017-11-27T00:00:00"/>
        <d v="2023-08-09T00:00:00"/>
        <d v="2020-01-31T00:00:00"/>
        <d v="2021-11-11T00:00:00"/>
        <d v="2023-07-14T00:00:00"/>
        <d v="2023-03-01T00:00:00"/>
        <d v="2020-02-22T00:00:00"/>
      </sharedItems>
    </cacheField>
    <cacheField name="부서" numFmtId="0">
      <sharedItems count="9">
        <s v="판촉부"/>
        <s v="총무부"/>
        <s v="기획부"/>
        <s v="인사부"/>
        <s v="유통부"/>
        <s v="광고부"/>
        <s v="영업부"/>
        <s v="디자인"/>
        <s v="경리부"/>
      </sharedItems>
    </cacheField>
    <cacheField name="직위" numFmtId="0">
      <sharedItems count="3">
        <s v="대리"/>
        <s v="주임"/>
        <s v="사원"/>
      </sharedItems>
    </cacheField>
    <cacheField name="생일" numFmtId="0">
      <sharedItems count="30">
        <s v="03월20일"/>
        <s v="08월28일"/>
        <s v="03월10일"/>
        <s v="08월06일"/>
        <s v="02월04일"/>
        <s v="04월18일"/>
        <s v="01월25일"/>
        <s v="03월26일"/>
        <s v="07월30일"/>
        <s v="04월09일"/>
        <s v="06월19일"/>
        <s v="08월15일"/>
        <s v="04월19일"/>
        <s v="09월16일"/>
        <s v="11월09일"/>
        <s v="11월23일"/>
        <s v="07월24일"/>
        <s v="12월01일"/>
        <s v="12월20일"/>
        <s v="11월15일"/>
        <s v="06월11일"/>
        <s v="10월25일"/>
        <s v="09월23일"/>
        <s v="11월26일"/>
        <s v="11월17일"/>
        <s v="12월02일"/>
        <s v="05월28일"/>
        <s v="07월05일"/>
        <s v="07월25일"/>
        <s v="10월11일"/>
      </sharedItems>
    </cacheField>
    <cacheField name="부양가족수" numFmtId="0">
      <sharedItems containsSemiMixedTypes="0" containsString="0" containsNumber="1" containsInteger="1" minValue="1" maxValue="5" count="5">
        <n v="3"/>
        <n v="2"/>
        <n v="5"/>
        <n v="4"/>
        <n v="1"/>
      </sharedItems>
    </cacheField>
    <cacheField name="기본급" numFmtId="0">
      <sharedItems containsSemiMixedTypes="0" containsString="0" containsNumber="1" containsInteger="1" minValue="900000" maxValue="1000000" count="3">
        <n v="1000000"/>
        <n v="950000"/>
        <n v="900000"/>
      </sharedItems>
    </cacheField>
    <cacheField name="수당" numFmtId="0">
      <sharedItems containsSemiMixedTypes="0" containsString="0" containsNumber="1" containsInteger="1" minValue="0" maxValue="50000" count="4">
        <n v="30000"/>
        <n v="0"/>
        <n v="20140"/>
        <n v="50000"/>
      </sharedItems>
    </cacheField>
    <cacheField name="상여금" numFmtId="0" formula=" ROUND(기본급 *15%,-4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1"/>
    <x v="1"/>
    <x v="1"/>
  </r>
  <r>
    <x v="2"/>
    <x v="2"/>
    <x v="2"/>
    <x v="2"/>
    <x v="2"/>
    <x v="2"/>
    <x v="1"/>
    <x v="2"/>
    <x v="0"/>
    <x v="1"/>
    <x v="1"/>
  </r>
  <r>
    <x v="3"/>
    <x v="3"/>
    <x v="3"/>
    <x v="3"/>
    <x v="3"/>
    <x v="3"/>
    <x v="0"/>
    <x v="3"/>
    <x v="2"/>
    <x v="0"/>
    <x v="1"/>
  </r>
  <r>
    <x v="4"/>
    <x v="4"/>
    <x v="4"/>
    <x v="4"/>
    <x v="4"/>
    <x v="4"/>
    <x v="0"/>
    <x v="4"/>
    <x v="3"/>
    <x v="0"/>
    <x v="1"/>
  </r>
  <r>
    <x v="5"/>
    <x v="5"/>
    <x v="5"/>
    <x v="5"/>
    <x v="5"/>
    <x v="1"/>
    <x v="0"/>
    <x v="5"/>
    <x v="0"/>
    <x v="0"/>
    <x v="1"/>
  </r>
  <r>
    <x v="6"/>
    <x v="6"/>
    <x v="6"/>
    <x v="6"/>
    <x v="6"/>
    <x v="1"/>
    <x v="2"/>
    <x v="6"/>
    <x v="4"/>
    <x v="2"/>
    <x v="1"/>
  </r>
  <r>
    <x v="7"/>
    <x v="7"/>
    <x v="7"/>
    <x v="7"/>
    <x v="7"/>
    <x v="5"/>
    <x v="1"/>
    <x v="7"/>
    <x v="4"/>
    <x v="1"/>
    <x v="2"/>
  </r>
  <r>
    <x v="8"/>
    <x v="8"/>
    <x v="8"/>
    <x v="8"/>
    <x v="8"/>
    <x v="1"/>
    <x v="0"/>
    <x v="8"/>
    <x v="0"/>
    <x v="0"/>
    <x v="1"/>
  </r>
  <r>
    <x v="9"/>
    <x v="9"/>
    <x v="9"/>
    <x v="9"/>
    <x v="9"/>
    <x v="0"/>
    <x v="2"/>
    <x v="9"/>
    <x v="1"/>
    <x v="2"/>
    <x v="0"/>
  </r>
  <r>
    <x v="10"/>
    <x v="10"/>
    <x v="10"/>
    <x v="10"/>
    <x v="10"/>
    <x v="6"/>
    <x v="2"/>
    <x v="10"/>
    <x v="1"/>
    <x v="2"/>
    <x v="3"/>
  </r>
  <r>
    <x v="11"/>
    <x v="11"/>
    <x v="11"/>
    <x v="11"/>
    <x v="11"/>
    <x v="7"/>
    <x v="2"/>
    <x v="11"/>
    <x v="0"/>
    <x v="2"/>
    <x v="1"/>
  </r>
  <r>
    <x v="12"/>
    <x v="12"/>
    <x v="12"/>
    <x v="12"/>
    <x v="12"/>
    <x v="0"/>
    <x v="2"/>
    <x v="12"/>
    <x v="2"/>
    <x v="2"/>
    <x v="0"/>
  </r>
  <r>
    <x v="13"/>
    <x v="13"/>
    <x v="13"/>
    <x v="13"/>
    <x v="13"/>
    <x v="3"/>
    <x v="1"/>
    <x v="13"/>
    <x v="1"/>
    <x v="1"/>
    <x v="1"/>
  </r>
  <r>
    <x v="14"/>
    <x v="14"/>
    <x v="14"/>
    <x v="14"/>
    <x v="14"/>
    <x v="4"/>
    <x v="0"/>
    <x v="14"/>
    <x v="4"/>
    <x v="1"/>
    <x v="1"/>
  </r>
  <r>
    <x v="15"/>
    <x v="15"/>
    <x v="15"/>
    <x v="15"/>
    <x v="15"/>
    <x v="0"/>
    <x v="1"/>
    <x v="15"/>
    <x v="3"/>
    <x v="1"/>
    <x v="0"/>
  </r>
  <r>
    <x v="16"/>
    <x v="16"/>
    <x v="16"/>
    <x v="16"/>
    <x v="16"/>
    <x v="3"/>
    <x v="2"/>
    <x v="16"/>
    <x v="1"/>
    <x v="2"/>
    <x v="1"/>
  </r>
  <r>
    <x v="17"/>
    <x v="17"/>
    <x v="17"/>
    <x v="17"/>
    <x v="17"/>
    <x v="0"/>
    <x v="0"/>
    <x v="17"/>
    <x v="4"/>
    <x v="0"/>
    <x v="0"/>
  </r>
  <r>
    <x v="18"/>
    <x v="18"/>
    <x v="18"/>
    <x v="18"/>
    <x v="18"/>
    <x v="8"/>
    <x v="0"/>
    <x v="18"/>
    <x v="0"/>
    <x v="0"/>
    <x v="1"/>
  </r>
  <r>
    <x v="19"/>
    <x v="19"/>
    <x v="19"/>
    <x v="19"/>
    <x v="19"/>
    <x v="7"/>
    <x v="2"/>
    <x v="19"/>
    <x v="1"/>
    <x v="2"/>
    <x v="1"/>
  </r>
  <r>
    <x v="20"/>
    <x v="20"/>
    <x v="20"/>
    <x v="20"/>
    <x v="20"/>
    <x v="0"/>
    <x v="2"/>
    <x v="20"/>
    <x v="3"/>
    <x v="2"/>
    <x v="0"/>
  </r>
  <r>
    <x v="21"/>
    <x v="21"/>
    <x v="21"/>
    <x v="21"/>
    <x v="21"/>
    <x v="1"/>
    <x v="2"/>
    <x v="21"/>
    <x v="1"/>
    <x v="2"/>
    <x v="1"/>
  </r>
  <r>
    <x v="22"/>
    <x v="22"/>
    <x v="22"/>
    <x v="22"/>
    <x v="22"/>
    <x v="7"/>
    <x v="0"/>
    <x v="22"/>
    <x v="4"/>
    <x v="0"/>
    <x v="1"/>
  </r>
  <r>
    <x v="23"/>
    <x v="23"/>
    <x v="23"/>
    <x v="23"/>
    <x v="23"/>
    <x v="4"/>
    <x v="0"/>
    <x v="23"/>
    <x v="1"/>
    <x v="0"/>
    <x v="1"/>
  </r>
  <r>
    <x v="24"/>
    <x v="24"/>
    <x v="24"/>
    <x v="24"/>
    <x v="24"/>
    <x v="2"/>
    <x v="2"/>
    <x v="24"/>
    <x v="4"/>
    <x v="2"/>
    <x v="1"/>
  </r>
  <r>
    <x v="25"/>
    <x v="25"/>
    <x v="25"/>
    <x v="25"/>
    <x v="25"/>
    <x v="5"/>
    <x v="1"/>
    <x v="25"/>
    <x v="1"/>
    <x v="1"/>
    <x v="2"/>
  </r>
  <r>
    <x v="26"/>
    <x v="26"/>
    <x v="26"/>
    <x v="26"/>
    <x v="26"/>
    <x v="3"/>
    <x v="0"/>
    <x v="26"/>
    <x v="1"/>
    <x v="1"/>
    <x v="1"/>
  </r>
  <r>
    <x v="27"/>
    <x v="27"/>
    <x v="27"/>
    <x v="27"/>
    <x v="27"/>
    <x v="2"/>
    <x v="2"/>
    <x v="27"/>
    <x v="0"/>
    <x v="2"/>
    <x v="1"/>
  </r>
  <r>
    <x v="28"/>
    <x v="28"/>
    <x v="28"/>
    <x v="28"/>
    <x v="28"/>
    <x v="2"/>
    <x v="2"/>
    <x v="28"/>
    <x v="0"/>
    <x v="2"/>
    <x v="1"/>
  </r>
  <r>
    <x v="29"/>
    <x v="29"/>
    <x v="29"/>
    <x v="29"/>
    <x v="29"/>
    <x v="4"/>
    <x v="1"/>
    <x v="29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53E12E-D343-4D38-BEF0-F6537333FA95}" name="피벗 테이블1" cacheId="4" applyNumberFormats="0" applyBorderFormats="0" applyFontFormats="0" applyPatternFormats="0" applyAlignmentFormats="0" applyWidthHeightFormats="1" dataCaption="값" updatedVersion="7" minRefreshableVersion="3" useAutoFormatting="1" rowGrandTotals="0" colGrandTotals="0" itemPrintTitles="1" createdVersion="7" indent="0" compact="0" compactData="0" multipleFieldFilters="0" fieldListSortAscending="1">
  <location ref="A4:G15" firstHeaderRow="1" firstDataRow="3" firstDataCol="1" rowPageCount="1" colPageCount="1"/>
  <pivotFields count="12">
    <pivotField compact="0" outline="0" showAll="0"/>
    <pivotField axis="axisPage" compact="0" outline="0" showAll="0">
      <items count="31">
        <item x="17"/>
        <item x="29"/>
        <item x="0"/>
        <item x="12"/>
        <item x="16"/>
        <item x="21"/>
        <item x="25"/>
        <item x="5"/>
        <item x="10"/>
        <item x="27"/>
        <item x="22"/>
        <item x="26"/>
        <item x="3"/>
        <item x="9"/>
        <item x="18"/>
        <item x="20"/>
        <item x="6"/>
        <item x="14"/>
        <item x="15"/>
        <item x="19"/>
        <item x="2"/>
        <item x="8"/>
        <item x="11"/>
        <item x="7"/>
        <item x="24"/>
        <item x="1"/>
        <item x="4"/>
        <item x="13"/>
        <item x="23"/>
        <item x="28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sortType="descending">
      <items count="10">
        <item x="0"/>
        <item x="1"/>
        <item x="3"/>
        <item x="4"/>
        <item x="6"/>
        <item x="7"/>
        <item x="2"/>
        <item x="5"/>
        <item x="8"/>
        <item t="default"/>
      </items>
    </pivotField>
    <pivotField axis="axisCol" compact="0" outline="0" showAll="0">
      <items count="4">
        <item x="0"/>
        <item x="2"/>
        <item x="1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dataField="1" compact="0" outline="0" dragToRow="0" dragToCol="0" dragToPage="0" showAll="0" defaultSubtotal="0"/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Fields count="2">
    <field x="6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pageFields count="1">
    <pageField fld="1" hier="-1"/>
  </pageFields>
  <dataFields count="2">
    <dataField name="합계 : 기본급" fld="9" baseField="5" baseItem="1" numFmtId="179"/>
    <dataField name="합계 : 상여금" fld="11" baseField="5" baseItem="1" numFmtId="17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E185841-1AB4-4148-A36C-E5EF7F2AF4A3}" name="표3" displayName="표3" ref="A1:K4" totalsRowShown="0">
  <autoFilter ref="A1:K4" xr:uid="{5E185841-1AB4-4148-A36C-E5EF7F2AF4A3}"/>
  <tableColumns count="11">
    <tableColumn id="1" xr3:uid="{F32D0556-8DFA-4B02-A170-77E3623C1DCF}" name="사번"/>
    <tableColumn id="2" xr3:uid="{10D801B3-18AE-4873-A7D1-F7A126FD7403}" name="이름"/>
    <tableColumn id="3" xr3:uid="{D26B71B4-146C-4E00-A82C-44C8DAD620DE}" name="주민등록번호"/>
    <tableColumn id="4" xr3:uid="{10D7F9C7-D1B1-42DA-8C33-637A92CC5C34}" name="연락처"/>
    <tableColumn id="5" xr3:uid="{E6B4CDCD-858E-4ACC-A9BA-13623EA8C859}" name="입사일" dataDxfId="0"/>
    <tableColumn id="6" xr3:uid="{FF038998-F8B0-4511-A30A-DAEE2D237CFF}" name="부서"/>
    <tableColumn id="7" xr3:uid="{EBC418CD-40A6-4172-BE53-F03F007E37F5}" name="직위"/>
    <tableColumn id="8" xr3:uid="{D982BE60-049D-4198-91E1-7A012028A5E2}" name="생일"/>
    <tableColumn id="9" xr3:uid="{10E9309D-BE2B-4816-87A9-D652A3E2C9F3}" name="부양가족수"/>
    <tableColumn id="10" xr3:uid="{467C884F-FC56-44BA-A90D-4A8CE62F5E80}" name="기본급"/>
    <tableColumn id="11" xr3:uid="{0294F218-C579-4B3E-ADB5-EF2454706919}" name="수당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B2380-619B-4BC1-9B57-49488A1864C5}">
  <sheetPr codeName="Sheet9"/>
  <dimension ref="A1:H39"/>
  <sheetViews>
    <sheetView tabSelected="1" workbookViewId="0"/>
  </sheetViews>
  <sheetFormatPr defaultRowHeight="16.5"/>
  <cols>
    <col min="1" max="1" width="9.25" bestFit="1" customWidth="1"/>
    <col min="2" max="2" width="6" bestFit="1" customWidth="1"/>
    <col min="3" max="3" width="13.25" bestFit="1" customWidth="1"/>
    <col min="4" max="4" width="7.375" bestFit="1" customWidth="1"/>
    <col min="5" max="5" width="5.5" bestFit="1" customWidth="1"/>
    <col min="6" max="6" width="10.875" bestFit="1" customWidth="1"/>
    <col min="7" max="7" width="14" bestFit="1" customWidth="1"/>
    <col min="8" max="8" width="12.125" bestFit="1" customWidth="1"/>
  </cols>
  <sheetData>
    <row r="1" spans="1:8">
      <c r="A1" t="s">
        <v>0</v>
      </c>
    </row>
    <row r="2" spans="1:8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8">
      <c r="A3" s="2">
        <v>1</v>
      </c>
      <c r="B3" s="2">
        <v>1</v>
      </c>
      <c r="C3" s="2" t="s">
        <v>9</v>
      </c>
      <c r="D3" s="2" t="s">
        <v>10</v>
      </c>
      <c r="E3">
        <v>500</v>
      </c>
      <c r="F3" s="3">
        <v>17600</v>
      </c>
      <c r="G3" s="3">
        <v>8000000</v>
      </c>
      <c r="H3" s="3">
        <v>800000</v>
      </c>
    </row>
    <row r="4" spans="1:8">
      <c r="A4" s="2">
        <v>2</v>
      </c>
      <c r="B4" s="2">
        <v>1</v>
      </c>
      <c r="C4" s="2" t="s">
        <v>11</v>
      </c>
      <c r="D4" s="2" t="s">
        <v>12</v>
      </c>
      <c r="E4">
        <v>500</v>
      </c>
      <c r="F4" s="3">
        <v>12500</v>
      </c>
      <c r="G4" s="3">
        <v>5681818</v>
      </c>
      <c r="H4" s="3">
        <v>568182</v>
      </c>
    </row>
    <row r="5" spans="1:8">
      <c r="A5" s="2">
        <v>2</v>
      </c>
      <c r="B5" s="2">
        <v>2</v>
      </c>
      <c r="C5" s="2" t="s">
        <v>11</v>
      </c>
      <c r="D5" s="2" t="s">
        <v>13</v>
      </c>
      <c r="E5">
        <v>100</v>
      </c>
      <c r="F5" s="3">
        <v>17600</v>
      </c>
      <c r="G5" s="3">
        <v>1600000</v>
      </c>
      <c r="H5" s="3">
        <v>160000</v>
      </c>
    </row>
    <row r="6" spans="1:8">
      <c r="A6" s="2">
        <v>4</v>
      </c>
      <c r="B6" s="2">
        <v>1</v>
      </c>
      <c r="C6" s="2" t="s">
        <v>14</v>
      </c>
      <c r="D6" s="2" t="s">
        <v>10</v>
      </c>
      <c r="E6">
        <v>10</v>
      </c>
      <c r="F6" s="3">
        <v>16000</v>
      </c>
      <c r="G6" s="3">
        <v>145455</v>
      </c>
      <c r="H6" s="3">
        <v>14545</v>
      </c>
    </row>
    <row r="7" spans="1:8">
      <c r="A7" s="2">
        <v>5</v>
      </c>
      <c r="B7" s="2">
        <v>1</v>
      </c>
      <c r="C7" s="2" t="s">
        <v>26</v>
      </c>
      <c r="D7" s="2" t="s">
        <v>16</v>
      </c>
      <c r="E7">
        <v>100</v>
      </c>
      <c r="F7" s="3">
        <v>12500</v>
      </c>
      <c r="G7" s="3">
        <v>1136364</v>
      </c>
      <c r="H7" s="3">
        <v>113636</v>
      </c>
    </row>
    <row r="8" spans="1:8">
      <c r="A8" s="2">
        <v>5</v>
      </c>
      <c r="B8" s="2">
        <v>2</v>
      </c>
      <c r="C8" s="2" t="s">
        <v>17</v>
      </c>
      <c r="D8" s="2" t="s">
        <v>18</v>
      </c>
      <c r="E8">
        <v>648</v>
      </c>
      <c r="F8" s="3">
        <v>8800</v>
      </c>
      <c r="G8" s="3">
        <v>5184000</v>
      </c>
      <c r="H8" s="3">
        <v>518400</v>
      </c>
    </row>
    <row r="9" spans="1:8">
      <c r="A9" s="2">
        <v>6</v>
      </c>
      <c r="B9" s="2">
        <v>1</v>
      </c>
      <c r="C9" s="2" t="s">
        <v>11</v>
      </c>
      <c r="D9" s="2" t="s">
        <v>19</v>
      </c>
      <c r="E9">
        <v>50</v>
      </c>
      <c r="F9" s="3">
        <v>12500</v>
      </c>
      <c r="G9" s="3">
        <v>568182</v>
      </c>
      <c r="H9" s="3">
        <v>56818</v>
      </c>
    </row>
    <row r="10" spans="1:8">
      <c r="A10" s="2">
        <v>6</v>
      </c>
      <c r="B10" s="2">
        <v>2</v>
      </c>
      <c r="C10" s="2" t="s">
        <v>17</v>
      </c>
      <c r="D10" s="2" t="s">
        <v>13</v>
      </c>
      <c r="E10">
        <v>50</v>
      </c>
      <c r="F10" s="3">
        <v>14000</v>
      </c>
      <c r="G10" s="3">
        <v>636364</v>
      </c>
      <c r="H10" s="3">
        <v>63636</v>
      </c>
    </row>
    <row r="11" spans="1:8">
      <c r="A11" s="2">
        <v>6</v>
      </c>
      <c r="B11" s="2">
        <v>3</v>
      </c>
      <c r="C11" s="2" t="s">
        <v>20</v>
      </c>
      <c r="D11" s="2" t="s">
        <v>19</v>
      </c>
      <c r="E11">
        <v>300</v>
      </c>
      <c r="F11" s="3">
        <v>12500</v>
      </c>
      <c r="G11" s="3">
        <v>3409091</v>
      </c>
      <c r="H11" s="3">
        <v>340909</v>
      </c>
    </row>
    <row r="12" spans="1:8">
      <c r="A12" s="2">
        <v>7</v>
      </c>
      <c r="B12" s="2">
        <v>1</v>
      </c>
      <c r="C12" s="2" t="s">
        <v>21</v>
      </c>
      <c r="D12" s="2" t="s">
        <v>12</v>
      </c>
      <c r="E12">
        <v>50</v>
      </c>
      <c r="F12" s="3">
        <v>12500</v>
      </c>
      <c r="G12" s="3">
        <v>568182</v>
      </c>
      <c r="H12" s="3">
        <v>56818</v>
      </c>
    </row>
    <row r="13" spans="1:8">
      <c r="A13" s="2">
        <v>8</v>
      </c>
      <c r="B13" s="2">
        <v>2</v>
      </c>
      <c r="C13" s="2" t="s">
        <v>22</v>
      </c>
      <c r="D13" s="2" t="s">
        <v>19</v>
      </c>
      <c r="E13">
        <v>0</v>
      </c>
      <c r="F13" s="3">
        <v>24000</v>
      </c>
      <c r="G13" s="3">
        <v>327273</v>
      </c>
      <c r="H13" s="3">
        <v>-87273</v>
      </c>
    </row>
    <row r="14" spans="1:8">
      <c r="A14" s="2">
        <v>9</v>
      </c>
      <c r="B14" s="2">
        <v>1</v>
      </c>
      <c r="C14" s="2" t="s">
        <v>20</v>
      </c>
      <c r="D14" s="2" t="s">
        <v>10</v>
      </c>
      <c r="E14">
        <v>100</v>
      </c>
      <c r="F14" s="3">
        <v>12500</v>
      </c>
      <c r="G14" s="3">
        <v>1136364</v>
      </c>
      <c r="H14" s="3">
        <v>113636</v>
      </c>
    </row>
    <row r="15" spans="1:8">
      <c r="A15" s="2">
        <v>9</v>
      </c>
      <c r="B15" s="2">
        <v>2</v>
      </c>
      <c r="C15" s="2" t="s">
        <v>17</v>
      </c>
      <c r="D15" s="2" t="s">
        <v>12</v>
      </c>
      <c r="E15">
        <v>200</v>
      </c>
      <c r="F15" s="3">
        <v>12500</v>
      </c>
      <c r="G15" s="3">
        <v>2272727</v>
      </c>
      <c r="H15" s="3">
        <v>227273</v>
      </c>
    </row>
    <row r="16" spans="1:8">
      <c r="A16" s="2">
        <v>9</v>
      </c>
      <c r="B16" s="2">
        <v>3</v>
      </c>
      <c r="C16" s="2" t="s">
        <v>11</v>
      </c>
      <c r="D16" s="2" t="s">
        <v>19</v>
      </c>
      <c r="E16">
        <v>300</v>
      </c>
      <c r="F16" s="3">
        <v>8800</v>
      </c>
      <c r="G16" s="3">
        <v>2400000</v>
      </c>
      <c r="H16" s="3">
        <v>240000</v>
      </c>
    </row>
    <row r="17" spans="1:8">
      <c r="A17" s="2">
        <v>9</v>
      </c>
      <c r="B17" s="2">
        <v>4</v>
      </c>
      <c r="C17" s="2" t="s">
        <v>11</v>
      </c>
      <c r="D17" s="2" t="s">
        <v>18</v>
      </c>
      <c r="E17">
        <v>200</v>
      </c>
      <c r="F17" s="3">
        <v>17600</v>
      </c>
      <c r="G17" s="3">
        <v>3200000</v>
      </c>
      <c r="H17" s="3">
        <v>320000</v>
      </c>
    </row>
    <row r="18" spans="1:8">
      <c r="A18" s="2">
        <v>10</v>
      </c>
      <c r="B18" s="2">
        <v>1</v>
      </c>
      <c r="C18" s="2" t="s">
        <v>15</v>
      </c>
      <c r="D18" s="2" t="s">
        <v>10</v>
      </c>
      <c r="E18">
        <v>200</v>
      </c>
      <c r="F18" s="3">
        <v>12500</v>
      </c>
      <c r="G18" s="3">
        <v>2272727</v>
      </c>
      <c r="H18" s="3">
        <v>227273</v>
      </c>
    </row>
    <row r="19" spans="1:8">
      <c r="A19" s="2">
        <v>10</v>
      </c>
      <c r="B19" s="2">
        <v>2</v>
      </c>
      <c r="C19" s="2" t="s">
        <v>17</v>
      </c>
      <c r="D19" s="2" t="s">
        <v>16</v>
      </c>
      <c r="E19">
        <v>50</v>
      </c>
      <c r="F19" s="3">
        <v>12500</v>
      </c>
      <c r="G19" s="3">
        <v>568182</v>
      </c>
      <c r="H19" s="3">
        <v>56818</v>
      </c>
    </row>
    <row r="20" spans="1:8">
      <c r="A20" s="2">
        <v>11</v>
      </c>
      <c r="B20" s="2">
        <v>1</v>
      </c>
      <c r="C20" s="2" t="s">
        <v>23</v>
      </c>
      <c r="D20" s="2" t="s">
        <v>10</v>
      </c>
      <c r="E20">
        <v>135</v>
      </c>
      <c r="F20" s="3">
        <v>12500</v>
      </c>
      <c r="G20" s="3">
        <v>1534091</v>
      </c>
      <c r="H20" s="3">
        <v>153409</v>
      </c>
    </row>
    <row r="21" spans="1:8">
      <c r="A21" s="2">
        <v>11</v>
      </c>
      <c r="B21" s="2">
        <v>2</v>
      </c>
      <c r="C21" s="2" t="s">
        <v>17</v>
      </c>
      <c r="D21" s="2" t="s">
        <v>13</v>
      </c>
      <c r="E21">
        <v>50</v>
      </c>
      <c r="F21" s="3">
        <v>14000</v>
      </c>
      <c r="G21" s="3">
        <v>636364</v>
      </c>
      <c r="H21" s="3">
        <v>63636</v>
      </c>
    </row>
    <row r="22" spans="1:8">
      <c r="A22" s="2">
        <v>11</v>
      </c>
      <c r="B22" s="2">
        <v>3</v>
      </c>
      <c r="C22" s="2" t="s">
        <v>22</v>
      </c>
      <c r="D22" s="2" t="s">
        <v>12</v>
      </c>
      <c r="E22">
        <v>200</v>
      </c>
      <c r="F22" s="3">
        <v>12300</v>
      </c>
      <c r="G22" s="3">
        <v>2236364</v>
      </c>
      <c r="H22" s="3">
        <v>223636</v>
      </c>
    </row>
    <row r="23" spans="1:8">
      <c r="A23" s="2">
        <v>11</v>
      </c>
      <c r="B23" s="2">
        <v>4</v>
      </c>
      <c r="C23" s="2" t="s">
        <v>17</v>
      </c>
      <c r="D23" s="2" t="s">
        <v>19</v>
      </c>
      <c r="E23">
        <v>20</v>
      </c>
      <c r="F23" s="3">
        <v>16000</v>
      </c>
      <c r="G23" s="3">
        <v>290909</v>
      </c>
      <c r="H23" s="3">
        <v>29091</v>
      </c>
    </row>
    <row r="24" spans="1:8">
      <c r="A24" s="2">
        <v>12</v>
      </c>
      <c r="B24" s="2">
        <v>1</v>
      </c>
      <c r="C24" s="2" t="s">
        <v>20</v>
      </c>
      <c r="D24" s="2" t="s">
        <v>24</v>
      </c>
      <c r="E24">
        <v>250</v>
      </c>
      <c r="F24" s="3">
        <v>12500</v>
      </c>
      <c r="G24" s="3">
        <v>2840909</v>
      </c>
      <c r="H24" s="3">
        <v>284091</v>
      </c>
    </row>
    <row r="25" spans="1:8">
      <c r="A25" s="2">
        <v>12</v>
      </c>
      <c r="B25" s="2">
        <v>2</v>
      </c>
      <c r="C25" s="2" t="s">
        <v>17</v>
      </c>
      <c r="D25" s="2" t="s">
        <v>10</v>
      </c>
      <c r="E25">
        <v>50</v>
      </c>
      <c r="F25" s="3">
        <v>12500</v>
      </c>
      <c r="G25" s="3">
        <v>568182</v>
      </c>
      <c r="H25" s="3">
        <v>56818</v>
      </c>
    </row>
    <row r="26" spans="1:8">
      <c r="A26" s="2">
        <v>12</v>
      </c>
      <c r="B26" s="2">
        <v>3</v>
      </c>
      <c r="C26" s="2" t="s">
        <v>15</v>
      </c>
      <c r="D26" s="2" t="s">
        <v>25</v>
      </c>
      <c r="E26">
        <v>-1</v>
      </c>
      <c r="F26" s="3">
        <v>12500</v>
      </c>
      <c r="G26" s="3">
        <v>-11364</v>
      </c>
      <c r="H26" s="3">
        <v>-1136</v>
      </c>
    </row>
    <row r="27" spans="1:8">
      <c r="A27" s="2">
        <v>13</v>
      </c>
      <c r="B27" s="2">
        <v>1</v>
      </c>
      <c r="C27" s="2" t="s">
        <v>21</v>
      </c>
      <c r="D27" s="2" t="s">
        <v>16</v>
      </c>
      <c r="E27">
        <v>100</v>
      </c>
      <c r="F27" s="3">
        <v>12500</v>
      </c>
      <c r="G27" s="3">
        <v>1136364</v>
      </c>
      <c r="H27" s="3">
        <v>113636</v>
      </c>
    </row>
    <row r="28" spans="1:8">
      <c r="A28" s="2">
        <v>14</v>
      </c>
      <c r="B28" s="2">
        <v>2</v>
      </c>
      <c r="C28" s="2" t="s">
        <v>17</v>
      </c>
      <c r="D28" s="2" t="s">
        <v>13</v>
      </c>
      <c r="E28">
        <v>50</v>
      </c>
      <c r="F28" s="3">
        <v>12500</v>
      </c>
      <c r="G28" s="3">
        <v>568182</v>
      </c>
      <c r="H28" s="3">
        <v>56818</v>
      </c>
    </row>
    <row r="29" spans="1:8">
      <c r="A29" s="2">
        <v>15</v>
      </c>
      <c r="B29" s="2">
        <v>1</v>
      </c>
      <c r="C29" s="2" t="s">
        <v>21</v>
      </c>
      <c r="D29" s="2" t="s">
        <v>25</v>
      </c>
      <c r="E29">
        <v>7</v>
      </c>
      <c r="F29" s="3">
        <v>12000</v>
      </c>
      <c r="G29" s="3">
        <v>76364</v>
      </c>
      <c r="H29" s="3">
        <v>7636</v>
      </c>
    </row>
    <row r="30" spans="1:8">
      <c r="A30" s="2">
        <v>15</v>
      </c>
      <c r="B30" s="2">
        <v>2</v>
      </c>
      <c r="C30" s="2" t="s">
        <v>21</v>
      </c>
      <c r="D30" s="2" t="s">
        <v>19</v>
      </c>
      <c r="E30">
        <v>1</v>
      </c>
      <c r="F30" s="3">
        <v>24000</v>
      </c>
      <c r="G30" s="3">
        <v>21818</v>
      </c>
      <c r="H30" s="3">
        <v>2182</v>
      </c>
    </row>
    <row r="32" spans="1:8">
      <c r="A32" t="s">
        <v>129</v>
      </c>
    </row>
    <row r="33" spans="1:8">
      <c r="A33" t="b">
        <f>AND(LEFT(C3,2)="한솔",E3&gt;AVERAGE($E$3:$E$30))</f>
        <v>0</v>
      </c>
    </row>
    <row r="35" spans="1:8">
      <c r="A35" s="1" t="s">
        <v>1</v>
      </c>
      <c r="B35" s="1" t="s">
        <v>2</v>
      </c>
      <c r="C35" s="1" t="s">
        <v>3</v>
      </c>
      <c r="D35" s="1" t="s">
        <v>4</v>
      </c>
      <c r="E35" s="1" t="s">
        <v>5</v>
      </c>
      <c r="F35" s="1" t="s">
        <v>6</v>
      </c>
      <c r="G35" s="1" t="s">
        <v>7</v>
      </c>
      <c r="H35" s="1" t="s">
        <v>8</v>
      </c>
    </row>
    <row r="36" spans="1:8">
      <c r="A36" s="2">
        <v>2</v>
      </c>
      <c r="B36" s="2">
        <v>1</v>
      </c>
      <c r="C36" s="2" t="s">
        <v>11</v>
      </c>
      <c r="D36" s="2" t="s">
        <v>12</v>
      </c>
      <c r="E36">
        <v>500</v>
      </c>
      <c r="F36" s="3">
        <v>12500</v>
      </c>
      <c r="G36" s="3">
        <v>5681818</v>
      </c>
      <c r="H36" s="3">
        <v>568182</v>
      </c>
    </row>
    <row r="37" spans="1:8">
      <c r="A37" s="2">
        <v>9</v>
      </c>
      <c r="B37" s="2">
        <v>3</v>
      </c>
      <c r="C37" s="2" t="s">
        <v>11</v>
      </c>
      <c r="D37" s="2" t="s">
        <v>19</v>
      </c>
      <c r="E37">
        <v>300</v>
      </c>
      <c r="F37" s="3">
        <v>8800</v>
      </c>
      <c r="G37" s="3">
        <v>2400000</v>
      </c>
      <c r="H37" s="3">
        <v>240000</v>
      </c>
    </row>
    <row r="38" spans="1:8">
      <c r="A38" s="2">
        <v>9</v>
      </c>
      <c r="B38" s="2">
        <v>4</v>
      </c>
      <c r="C38" s="2" t="s">
        <v>11</v>
      </c>
      <c r="D38" s="2" t="s">
        <v>18</v>
      </c>
      <c r="E38">
        <v>200</v>
      </c>
      <c r="F38" s="3">
        <v>17600</v>
      </c>
      <c r="G38" s="3">
        <v>3200000</v>
      </c>
      <c r="H38" s="3">
        <v>320000</v>
      </c>
    </row>
    <row r="39" spans="1:8">
      <c r="A39" s="2">
        <v>10</v>
      </c>
      <c r="B39" s="2">
        <v>1</v>
      </c>
      <c r="C39" s="2" t="s">
        <v>15</v>
      </c>
      <c r="D39" s="2" t="s">
        <v>10</v>
      </c>
      <c r="E39">
        <v>200</v>
      </c>
      <c r="F39" s="3">
        <v>12500</v>
      </c>
      <c r="G39" s="3">
        <v>2272727</v>
      </c>
      <c r="H39" s="3">
        <v>227273</v>
      </c>
    </row>
  </sheetData>
  <phoneticPr fontId="1" type="noConversion"/>
  <conditionalFormatting sqref="A3:H30">
    <cfRule type="expression" dxfId="1" priority="1">
      <formula>ISEVEN(QUOTIENT(ROW(),3))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36A96-63BA-457D-A1A4-63FAFC90B143}">
  <sheetPr codeName="Sheet3"/>
  <dimension ref="A1:I60"/>
  <sheetViews>
    <sheetView workbookViewId="0"/>
  </sheetViews>
  <sheetFormatPr defaultRowHeight="16.5"/>
  <cols>
    <col min="1" max="1" width="9.25" bestFit="1" customWidth="1"/>
    <col min="2" max="2" width="5.5" bestFit="1" customWidth="1"/>
    <col min="3" max="3" width="15.125" bestFit="1" customWidth="1"/>
    <col min="4" max="4" width="7.625" customWidth="1"/>
    <col min="5" max="5" width="5.875" customWidth="1"/>
    <col min="6" max="6" width="8.75" customWidth="1"/>
    <col min="7" max="7" width="11" customWidth="1"/>
    <col min="8" max="8" width="9.625" customWidth="1"/>
    <col min="9" max="9" width="11.25" customWidth="1"/>
  </cols>
  <sheetData>
    <row r="1" spans="1:9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27</v>
      </c>
    </row>
    <row r="2" spans="1:9">
      <c r="A2" s="2">
        <v>1</v>
      </c>
      <c r="B2" s="2">
        <v>1</v>
      </c>
      <c r="C2" s="2" t="s">
        <v>9</v>
      </c>
      <c r="D2" s="2" t="s">
        <v>10</v>
      </c>
      <c r="E2">
        <v>500</v>
      </c>
      <c r="F2" s="4">
        <v>17600</v>
      </c>
      <c r="G2" s="4">
        <v>8000000</v>
      </c>
      <c r="H2" s="4">
        <v>800000</v>
      </c>
      <c r="I2" s="4">
        <v>8800000</v>
      </c>
    </row>
    <row r="3" spans="1:9">
      <c r="A3" s="2">
        <v>1</v>
      </c>
      <c r="B3" s="2">
        <v>2</v>
      </c>
      <c r="C3" s="2" t="s">
        <v>11</v>
      </c>
      <c r="D3" s="2" t="s">
        <v>24</v>
      </c>
      <c r="E3">
        <v>500</v>
      </c>
      <c r="F3" s="4">
        <v>8800</v>
      </c>
      <c r="G3" s="4">
        <v>4000000</v>
      </c>
      <c r="H3" s="4">
        <v>400000</v>
      </c>
      <c r="I3" s="4">
        <v>4400000</v>
      </c>
    </row>
    <row r="4" spans="1:9">
      <c r="A4" s="2">
        <v>2</v>
      </c>
      <c r="B4" s="2">
        <v>1</v>
      </c>
      <c r="C4" s="2" t="s">
        <v>11</v>
      </c>
      <c r="D4" s="2" t="s">
        <v>12</v>
      </c>
      <c r="E4">
        <v>500</v>
      </c>
      <c r="F4" s="4">
        <v>12500</v>
      </c>
      <c r="G4" s="4">
        <v>5681818</v>
      </c>
      <c r="H4" s="4">
        <v>568182</v>
      </c>
      <c r="I4" s="4">
        <v>6250000</v>
      </c>
    </row>
    <row r="5" spans="1:9">
      <c r="A5" s="2">
        <v>2</v>
      </c>
      <c r="B5" s="2">
        <v>2</v>
      </c>
      <c r="C5" s="2" t="s">
        <v>11</v>
      </c>
      <c r="D5" s="2" t="s">
        <v>13</v>
      </c>
      <c r="E5">
        <v>100</v>
      </c>
      <c r="F5" s="4">
        <v>17600</v>
      </c>
      <c r="G5" s="4">
        <v>1600000</v>
      </c>
      <c r="H5" s="4">
        <v>160000</v>
      </c>
      <c r="I5" s="4">
        <v>1760000</v>
      </c>
    </row>
    <row r="6" spans="1:9">
      <c r="A6" s="2">
        <v>2</v>
      </c>
      <c r="B6" s="2">
        <v>3</v>
      </c>
      <c r="C6" s="2" t="s">
        <v>11</v>
      </c>
      <c r="D6" s="2" t="s">
        <v>24</v>
      </c>
      <c r="E6">
        <v>290</v>
      </c>
      <c r="F6" s="4">
        <v>8800</v>
      </c>
      <c r="G6" s="4">
        <v>2320000</v>
      </c>
      <c r="H6" s="4">
        <v>232000</v>
      </c>
      <c r="I6" s="4">
        <v>2552000</v>
      </c>
    </row>
    <row r="7" spans="1:9">
      <c r="A7" s="2">
        <v>4</v>
      </c>
      <c r="B7" s="2">
        <v>1</v>
      </c>
      <c r="C7" s="2" t="s">
        <v>14</v>
      </c>
      <c r="D7" s="2" t="s">
        <v>10</v>
      </c>
      <c r="E7">
        <v>10</v>
      </c>
      <c r="F7" s="4">
        <v>16000</v>
      </c>
      <c r="G7" s="4">
        <v>145455</v>
      </c>
      <c r="H7" s="4">
        <v>14545</v>
      </c>
      <c r="I7" s="4">
        <v>160000</v>
      </c>
    </row>
    <row r="8" spans="1:9">
      <c r="A8" s="2">
        <v>5</v>
      </c>
      <c r="B8" s="2">
        <v>1</v>
      </c>
      <c r="C8" s="2" t="s">
        <v>15</v>
      </c>
      <c r="D8" s="2" t="s">
        <v>16</v>
      </c>
      <c r="E8">
        <v>100</v>
      </c>
      <c r="F8" s="4">
        <v>12500</v>
      </c>
      <c r="G8" s="4">
        <v>1136364</v>
      </c>
      <c r="H8" s="4">
        <v>113636</v>
      </c>
      <c r="I8" s="4">
        <v>1250000</v>
      </c>
    </row>
    <row r="9" spans="1:9">
      <c r="A9" s="2">
        <v>5</v>
      </c>
      <c r="B9" s="2">
        <v>2</v>
      </c>
      <c r="C9" s="2" t="s">
        <v>17</v>
      </c>
      <c r="D9" s="2" t="s">
        <v>18</v>
      </c>
      <c r="E9">
        <v>648</v>
      </c>
      <c r="F9" s="4">
        <v>8800</v>
      </c>
      <c r="G9" s="4">
        <v>5184000</v>
      </c>
      <c r="H9" s="4">
        <v>518400</v>
      </c>
      <c r="I9" s="4">
        <v>5702400</v>
      </c>
    </row>
    <row r="10" spans="1:9">
      <c r="A10" s="2">
        <v>6</v>
      </c>
      <c r="B10" s="2">
        <v>1</v>
      </c>
      <c r="C10" s="2" t="s">
        <v>11</v>
      </c>
      <c r="D10" s="2" t="s">
        <v>19</v>
      </c>
      <c r="E10">
        <v>50</v>
      </c>
      <c r="F10" s="4">
        <v>12500</v>
      </c>
      <c r="G10" s="4">
        <v>568182</v>
      </c>
      <c r="H10" s="4">
        <v>56818</v>
      </c>
      <c r="I10" s="4">
        <v>625000</v>
      </c>
    </row>
    <row r="11" spans="1:9">
      <c r="A11" s="2">
        <v>6</v>
      </c>
      <c r="B11" s="2">
        <v>2</v>
      </c>
      <c r="C11" s="2" t="s">
        <v>17</v>
      </c>
      <c r="D11" s="2" t="s">
        <v>13</v>
      </c>
      <c r="E11">
        <v>50</v>
      </c>
      <c r="F11" s="4">
        <v>14000</v>
      </c>
      <c r="G11" s="4">
        <v>636364</v>
      </c>
      <c r="H11" s="4">
        <v>63636</v>
      </c>
      <c r="I11" s="4">
        <v>700000</v>
      </c>
    </row>
    <row r="12" spans="1:9">
      <c r="A12" s="2">
        <v>6</v>
      </c>
      <c r="B12" s="2">
        <v>3</v>
      </c>
      <c r="C12" s="2" t="s">
        <v>20</v>
      </c>
      <c r="D12" s="2" t="s">
        <v>19</v>
      </c>
      <c r="E12">
        <v>300</v>
      </c>
      <c r="F12" s="4">
        <v>12500</v>
      </c>
      <c r="G12" s="4">
        <v>3409091</v>
      </c>
      <c r="H12" s="4">
        <v>340909</v>
      </c>
      <c r="I12" s="4">
        <v>3750000</v>
      </c>
    </row>
    <row r="13" spans="1:9">
      <c r="A13" s="2">
        <v>7</v>
      </c>
      <c r="B13" s="2">
        <v>1</v>
      </c>
      <c r="C13" s="2" t="s">
        <v>21</v>
      </c>
      <c r="D13" s="2" t="s">
        <v>12</v>
      </c>
      <c r="E13">
        <v>50</v>
      </c>
      <c r="F13" s="4">
        <v>12500</v>
      </c>
      <c r="G13" s="4">
        <v>568182</v>
      </c>
      <c r="H13" s="4">
        <v>56818</v>
      </c>
      <c r="I13" s="4">
        <v>625000</v>
      </c>
    </row>
    <row r="14" spans="1:9">
      <c r="A14" s="2">
        <v>8</v>
      </c>
      <c r="B14" s="2">
        <v>1</v>
      </c>
      <c r="C14" s="2" t="s">
        <v>23</v>
      </c>
      <c r="D14" s="2" t="s">
        <v>25</v>
      </c>
      <c r="E14">
        <v>50</v>
      </c>
      <c r="F14" s="4">
        <v>88000</v>
      </c>
      <c r="G14" s="4">
        <v>559091</v>
      </c>
      <c r="H14" s="4">
        <v>55909</v>
      </c>
      <c r="I14" s="4">
        <v>4400000</v>
      </c>
    </row>
    <row r="15" spans="1:9">
      <c r="A15" s="2">
        <v>8</v>
      </c>
      <c r="B15" s="2">
        <v>2</v>
      </c>
      <c r="C15" s="2" t="s">
        <v>22</v>
      </c>
      <c r="D15" s="2" t="s">
        <v>19</v>
      </c>
      <c r="E15">
        <v>0</v>
      </c>
      <c r="F15" s="4">
        <v>24000</v>
      </c>
      <c r="G15" s="4">
        <v>327273</v>
      </c>
      <c r="H15" s="4">
        <v>-87273</v>
      </c>
      <c r="I15" s="4">
        <v>0</v>
      </c>
    </row>
    <row r="16" spans="1:9">
      <c r="A16" s="2">
        <v>9</v>
      </c>
      <c r="B16" s="2">
        <v>1</v>
      </c>
      <c r="C16" s="2" t="s">
        <v>20</v>
      </c>
      <c r="D16" s="2" t="s">
        <v>10</v>
      </c>
      <c r="E16">
        <v>100</v>
      </c>
      <c r="F16" s="4">
        <v>12500</v>
      </c>
      <c r="G16" s="4">
        <v>1136364</v>
      </c>
      <c r="H16" s="4">
        <v>113636</v>
      </c>
      <c r="I16" s="4">
        <v>1250000</v>
      </c>
    </row>
    <row r="17" spans="1:9">
      <c r="A17" s="2">
        <v>9</v>
      </c>
      <c r="B17" s="2">
        <v>2</v>
      </c>
      <c r="C17" s="2" t="s">
        <v>17</v>
      </c>
      <c r="D17" s="2" t="s">
        <v>12</v>
      </c>
      <c r="E17">
        <v>200</v>
      </c>
      <c r="F17" s="4">
        <v>12500</v>
      </c>
      <c r="G17" s="4">
        <v>2272727</v>
      </c>
      <c r="H17" s="4">
        <v>227273</v>
      </c>
      <c r="I17" s="4">
        <v>2500000</v>
      </c>
    </row>
    <row r="18" spans="1:9">
      <c r="A18" s="2">
        <v>9</v>
      </c>
      <c r="B18" s="2">
        <v>3</v>
      </c>
      <c r="C18" s="2" t="s">
        <v>11</v>
      </c>
      <c r="D18" s="2" t="s">
        <v>19</v>
      </c>
      <c r="E18">
        <v>300</v>
      </c>
      <c r="F18" s="4">
        <v>8800</v>
      </c>
      <c r="G18" s="4">
        <v>2400000</v>
      </c>
      <c r="H18" s="4">
        <v>240000</v>
      </c>
      <c r="I18" s="4">
        <v>2640000</v>
      </c>
    </row>
    <row r="19" spans="1:9">
      <c r="A19" s="2">
        <v>9</v>
      </c>
      <c r="B19" s="2">
        <v>4</v>
      </c>
      <c r="C19" s="2" t="s">
        <v>11</v>
      </c>
      <c r="D19" s="2" t="s">
        <v>18</v>
      </c>
      <c r="E19">
        <v>200</v>
      </c>
      <c r="F19" s="4">
        <v>17600</v>
      </c>
      <c r="G19" s="4">
        <v>3200000</v>
      </c>
      <c r="H19" s="4">
        <v>320000</v>
      </c>
      <c r="I19" s="4">
        <v>3520000</v>
      </c>
    </row>
    <row r="20" spans="1:9">
      <c r="A20" s="2">
        <v>10</v>
      </c>
      <c r="B20" s="2">
        <v>1</v>
      </c>
      <c r="C20" s="2" t="s">
        <v>21</v>
      </c>
      <c r="D20" s="2" t="s">
        <v>10</v>
      </c>
      <c r="E20">
        <v>200</v>
      </c>
      <c r="F20" s="4">
        <v>12500</v>
      </c>
      <c r="G20" s="4">
        <v>2272727</v>
      </c>
      <c r="H20" s="4">
        <v>227273</v>
      </c>
      <c r="I20" s="4">
        <v>2500000</v>
      </c>
    </row>
    <row r="21" spans="1:9">
      <c r="A21" s="2">
        <v>10</v>
      </c>
      <c r="B21" s="2">
        <v>2</v>
      </c>
      <c r="C21" s="2" t="s">
        <v>17</v>
      </c>
      <c r="D21" s="2" t="s">
        <v>16</v>
      </c>
      <c r="E21">
        <v>50</v>
      </c>
      <c r="F21" s="4">
        <v>12500</v>
      </c>
      <c r="G21" s="4">
        <v>568182</v>
      </c>
      <c r="H21" s="4">
        <v>56818</v>
      </c>
      <c r="I21" s="4">
        <v>625000</v>
      </c>
    </row>
    <row r="22" spans="1:9">
      <c r="A22" s="2">
        <v>10</v>
      </c>
      <c r="B22" s="2">
        <v>3</v>
      </c>
      <c r="C22" s="2" t="s">
        <v>21</v>
      </c>
      <c r="D22" s="2" t="s">
        <v>19</v>
      </c>
      <c r="E22">
        <v>-3</v>
      </c>
      <c r="F22" s="4">
        <v>12500</v>
      </c>
      <c r="G22" s="4">
        <v>-34091</v>
      </c>
      <c r="H22" s="4">
        <v>-3409</v>
      </c>
      <c r="I22" s="4">
        <v>-37500</v>
      </c>
    </row>
    <row r="23" spans="1:9">
      <c r="A23" s="2">
        <v>11</v>
      </c>
      <c r="B23" s="2">
        <v>1</v>
      </c>
      <c r="C23" s="2" t="s">
        <v>23</v>
      </c>
      <c r="D23" s="2" t="s">
        <v>10</v>
      </c>
      <c r="E23">
        <v>135</v>
      </c>
      <c r="F23" s="4">
        <v>12500</v>
      </c>
      <c r="G23" s="4">
        <v>1534091</v>
      </c>
      <c r="H23" s="4">
        <v>153409</v>
      </c>
      <c r="I23" s="4">
        <v>1687500</v>
      </c>
    </row>
    <row r="24" spans="1:9">
      <c r="A24" s="2">
        <v>11</v>
      </c>
      <c r="B24" s="2">
        <v>2</v>
      </c>
      <c r="C24" s="2" t="s">
        <v>17</v>
      </c>
      <c r="D24" s="2" t="s">
        <v>13</v>
      </c>
      <c r="E24">
        <v>50</v>
      </c>
      <c r="F24" s="4">
        <v>14000</v>
      </c>
      <c r="G24" s="4">
        <v>636364</v>
      </c>
      <c r="H24" s="4">
        <v>63636</v>
      </c>
      <c r="I24" s="4">
        <v>700000</v>
      </c>
    </row>
    <row r="25" spans="1:9">
      <c r="A25" s="2">
        <v>11</v>
      </c>
      <c r="B25" s="2">
        <v>3</v>
      </c>
      <c r="C25" s="2" t="s">
        <v>22</v>
      </c>
      <c r="D25" s="2" t="s">
        <v>12</v>
      </c>
      <c r="E25">
        <v>200</v>
      </c>
      <c r="F25" s="4">
        <v>12300</v>
      </c>
      <c r="G25" s="4">
        <v>2236364</v>
      </c>
      <c r="H25" s="4">
        <v>223636</v>
      </c>
      <c r="I25" s="4">
        <v>2460000</v>
      </c>
    </row>
    <row r="26" spans="1:9">
      <c r="A26" s="2">
        <v>11</v>
      </c>
      <c r="B26" s="2">
        <v>4</v>
      </c>
      <c r="C26" s="2" t="s">
        <v>17</v>
      </c>
      <c r="D26" s="2" t="s">
        <v>19</v>
      </c>
      <c r="E26">
        <v>20</v>
      </c>
      <c r="F26" s="4">
        <v>16000</v>
      </c>
      <c r="G26" s="4">
        <v>290909</v>
      </c>
      <c r="H26" s="4">
        <v>29091</v>
      </c>
      <c r="I26" s="4">
        <v>320000</v>
      </c>
    </row>
    <row r="27" spans="1:9">
      <c r="A27" s="2">
        <v>12</v>
      </c>
      <c r="B27" s="2">
        <v>1</v>
      </c>
      <c r="C27" s="2" t="s">
        <v>20</v>
      </c>
      <c r="D27" s="2" t="s">
        <v>24</v>
      </c>
      <c r="E27">
        <v>250</v>
      </c>
      <c r="F27" s="4">
        <v>12500</v>
      </c>
      <c r="G27" s="4">
        <v>2840909</v>
      </c>
      <c r="H27" s="4">
        <v>284091</v>
      </c>
      <c r="I27" s="4">
        <v>3125000</v>
      </c>
    </row>
    <row r="28" spans="1:9">
      <c r="A28" s="2">
        <v>12</v>
      </c>
      <c r="B28" s="2">
        <v>2</v>
      </c>
      <c r="C28" s="2" t="s">
        <v>17</v>
      </c>
      <c r="D28" s="2" t="s">
        <v>10</v>
      </c>
      <c r="E28">
        <v>50</v>
      </c>
      <c r="F28" s="4">
        <v>12500</v>
      </c>
      <c r="G28" s="4">
        <v>568182</v>
      </c>
      <c r="H28" s="4">
        <v>56818</v>
      </c>
      <c r="I28" s="4">
        <v>625000</v>
      </c>
    </row>
    <row r="29" spans="1:9">
      <c r="A29" s="2">
        <v>12</v>
      </c>
      <c r="B29" s="2">
        <v>3</v>
      </c>
      <c r="C29" s="2" t="s">
        <v>20</v>
      </c>
      <c r="D29" s="2" t="s">
        <v>25</v>
      </c>
      <c r="E29">
        <v>-1</v>
      </c>
      <c r="F29" s="4">
        <v>12500</v>
      </c>
      <c r="G29" s="4">
        <v>-11364</v>
      </c>
      <c r="H29" s="4">
        <v>-1136</v>
      </c>
      <c r="I29" s="4">
        <v>-12500</v>
      </c>
    </row>
    <row r="30" spans="1:9">
      <c r="A30" s="2">
        <v>13</v>
      </c>
      <c r="B30" s="2">
        <v>1</v>
      </c>
      <c r="C30" s="2" t="s">
        <v>21</v>
      </c>
      <c r="D30" s="2" t="s">
        <v>16</v>
      </c>
      <c r="E30">
        <v>100</v>
      </c>
      <c r="F30" s="4">
        <v>12500</v>
      </c>
      <c r="G30" s="4">
        <v>1136364</v>
      </c>
      <c r="H30" s="4">
        <v>113636</v>
      </c>
      <c r="I30" s="4">
        <v>1250000</v>
      </c>
    </row>
    <row r="31" spans="1:9">
      <c r="A31" s="2">
        <v>14</v>
      </c>
      <c r="B31" s="2">
        <v>2</v>
      </c>
      <c r="C31" s="2" t="s">
        <v>17</v>
      </c>
      <c r="D31" s="2" t="s">
        <v>13</v>
      </c>
      <c r="E31">
        <v>50</v>
      </c>
      <c r="F31" s="4">
        <v>12500</v>
      </c>
      <c r="G31" s="4">
        <v>568182</v>
      </c>
      <c r="H31" s="4">
        <v>56818</v>
      </c>
      <c r="I31" s="4">
        <v>625000</v>
      </c>
    </row>
    <row r="32" spans="1:9">
      <c r="A32" s="2">
        <v>15</v>
      </c>
      <c r="B32" s="2">
        <v>1</v>
      </c>
      <c r="C32" s="2" t="s">
        <v>21</v>
      </c>
      <c r="D32" s="2" t="s">
        <v>25</v>
      </c>
      <c r="E32">
        <v>7</v>
      </c>
      <c r="F32" s="4">
        <v>12000</v>
      </c>
      <c r="G32" s="4">
        <v>76364</v>
      </c>
      <c r="H32" s="4">
        <v>7636</v>
      </c>
      <c r="I32" s="4">
        <v>84000</v>
      </c>
    </row>
    <row r="33" spans="1:9">
      <c r="A33" s="2">
        <v>15</v>
      </c>
      <c r="B33" s="2">
        <v>2</v>
      </c>
      <c r="C33" s="2" t="s">
        <v>21</v>
      </c>
      <c r="D33" s="2" t="s">
        <v>19</v>
      </c>
      <c r="E33">
        <v>1</v>
      </c>
      <c r="F33" s="4">
        <v>24000</v>
      </c>
      <c r="G33" s="4">
        <v>21818</v>
      </c>
      <c r="H33" s="4">
        <v>2182</v>
      </c>
      <c r="I33" s="4">
        <v>24000</v>
      </c>
    </row>
    <row r="34" spans="1:9">
      <c r="A34" s="2">
        <v>16</v>
      </c>
      <c r="B34" s="2">
        <v>1</v>
      </c>
      <c r="C34" s="2" t="s">
        <v>21</v>
      </c>
      <c r="D34" s="2" t="s">
        <v>16</v>
      </c>
      <c r="E34">
        <v>335</v>
      </c>
      <c r="F34" s="4">
        <v>12500</v>
      </c>
      <c r="G34" s="4">
        <v>3806818</v>
      </c>
      <c r="H34" s="4">
        <v>380682</v>
      </c>
      <c r="I34" s="4">
        <v>4187500</v>
      </c>
    </row>
    <row r="35" spans="1:9">
      <c r="A35" s="2">
        <v>16</v>
      </c>
      <c r="B35" s="2">
        <v>2</v>
      </c>
      <c r="C35" s="2" t="s">
        <v>22</v>
      </c>
      <c r="D35" s="2" t="s">
        <v>10</v>
      </c>
      <c r="E35">
        <v>237</v>
      </c>
      <c r="F35" s="4">
        <v>15800</v>
      </c>
      <c r="G35" s="4">
        <v>3404182</v>
      </c>
      <c r="H35" s="4">
        <v>340418</v>
      </c>
      <c r="I35" s="4">
        <v>3744600</v>
      </c>
    </row>
    <row r="36" spans="1:9">
      <c r="A36" s="2">
        <v>17</v>
      </c>
      <c r="B36" s="2">
        <v>1</v>
      </c>
      <c r="C36" s="2" t="s">
        <v>23</v>
      </c>
      <c r="D36" s="2" t="s">
        <v>19</v>
      </c>
      <c r="E36">
        <v>200</v>
      </c>
      <c r="F36" s="4">
        <v>12500</v>
      </c>
      <c r="G36" s="4">
        <v>2272727</v>
      </c>
      <c r="H36" s="4">
        <v>227273</v>
      </c>
      <c r="I36" s="4">
        <v>2500000</v>
      </c>
    </row>
    <row r="37" spans="1:9">
      <c r="A37" s="2">
        <v>17</v>
      </c>
      <c r="B37" s="2">
        <v>2</v>
      </c>
      <c r="C37" s="2" t="s">
        <v>17</v>
      </c>
      <c r="D37" s="2" t="s">
        <v>16</v>
      </c>
      <c r="E37">
        <v>-3</v>
      </c>
      <c r="F37" s="4">
        <v>12500</v>
      </c>
      <c r="G37" s="4">
        <v>-34091</v>
      </c>
      <c r="H37" s="4">
        <v>-3409</v>
      </c>
      <c r="I37" s="4">
        <v>-37500</v>
      </c>
    </row>
    <row r="38" spans="1:9">
      <c r="A38" s="2">
        <v>17</v>
      </c>
      <c r="B38" s="2">
        <v>3</v>
      </c>
      <c r="C38" s="2" t="s">
        <v>23</v>
      </c>
      <c r="D38" s="2" t="s">
        <v>13</v>
      </c>
      <c r="E38">
        <v>-1</v>
      </c>
      <c r="F38" s="4">
        <v>16000</v>
      </c>
      <c r="G38" s="4">
        <v>-14545</v>
      </c>
      <c r="H38" s="4">
        <v>-1455</v>
      </c>
      <c r="I38" s="4">
        <v>-16000</v>
      </c>
    </row>
    <row r="39" spans="1:9">
      <c r="A39" s="2">
        <v>18</v>
      </c>
      <c r="B39" s="2">
        <v>1</v>
      </c>
      <c r="C39" s="2" t="s">
        <v>20</v>
      </c>
      <c r="D39" s="2" t="s">
        <v>25</v>
      </c>
      <c r="E39">
        <v>200</v>
      </c>
      <c r="F39" s="4">
        <v>12500</v>
      </c>
      <c r="G39" s="4">
        <v>2272727</v>
      </c>
      <c r="H39" s="4">
        <v>227273</v>
      </c>
      <c r="I39" s="4">
        <v>2500000</v>
      </c>
    </row>
    <row r="40" spans="1:9">
      <c r="A40" s="2">
        <v>18</v>
      </c>
      <c r="B40" s="2">
        <v>2</v>
      </c>
      <c r="C40" s="2" t="s">
        <v>14</v>
      </c>
      <c r="D40" s="2" t="s">
        <v>18</v>
      </c>
      <c r="E40">
        <v>5</v>
      </c>
      <c r="F40" s="4">
        <v>16500</v>
      </c>
      <c r="G40" s="4">
        <v>75000</v>
      </c>
      <c r="H40" s="4">
        <v>7500</v>
      </c>
      <c r="I40" s="4">
        <v>82500</v>
      </c>
    </row>
    <row r="41" spans="1:9">
      <c r="A41" s="2">
        <v>19</v>
      </c>
      <c r="B41" s="2">
        <v>1</v>
      </c>
      <c r="C41" s="2" t="s">
        <v>21</v>
      </c>
      <c r="D41" s="2" t="s">
        <v>24</v>
      </c>
      <c r="E41">
        <v>-6</v>
      </c>
      <c r="F41" s="4">
        <v>12500</v>
      </c>
      <c r="G41" s="4">
        <v>-68182</v>
      </c>
      <c r="H41" s="4">
        <v>-6818</v>
      </c>
      <c r="I41" s="4">
        <v>-75000</v>
      </c>
    </row>
    <row r="42" spans="1:9">
      <c r="A42" s="2">
        <v>19</v>
      </c>
      <c r="B42" s="2">
        <v>2</v>
      </c>
      <c r="C42" s="2" t="s">
        <v>28</v>
      </c>
      <c r="D42" s="2" t="s">
        <v>13</v>
      </c>
      <c r="E42">
        <v>6</v>
      </c>
      <c r="F42" s="4">
        <v>16000</v>
      </c>
      <c r="G42" s="4">
        <v>87273</v>
      </c>
      <c r="H42" s="4">
        <v>8727</v>
      </c>
      <c r="I42" s="4">
        <v>96000</v>
      </c>
    </row>
    <row r="43" spans="1:9">
      <c r="A43" s="2">
        <v>20</v>
      </c>
      <c r="B43" s="2">
        <v>1</v>
      </c>
      <c r="C43" s="2" t="s">
        <v>23</v>
      </c>
      <c r="D43" s="2" t="s">
        <v>25</v>
      </c>
      <c r="E43">
        <v>-2</v>
      </c>
      <c r="F43" s="4">
        <v>12500</v>
      </c>
      <c r="G43" s="4">
        <v>-22727</v>
      </c>
      <c r="H43" s="4">
        <v>-2273</v>
      </c>
      <c r="I43" s="4">
        <v>-25000</v>
      </c>
    </row>
    <row r="44" spans="1:9">
      <c r="A44" s="2">
        <v>21</v>
      </c>
      <c r="B44" s="2">
        <v>1</v>
      </c>
      <c r="C44" s="2" t="s">
        <v>20</v>
      </c>
      <c r="D44" s="2" t="s">
        <v>12</v>
      </c>
      <c r="E44">
        <v>150</v>
      </c>
      <c r="F44" s="4">
        <v>12500</v>
      </c>
      <c r="G44" s="4">
        <v>1704545</v>
      </c>
      <c r="H44" s="4">
        <v>170455</v>
      </c>
      <c r="I44" s="4">
        <v>1875000</v>
      </c>
    </row>
    <row r="45" spans="1:9">
      <c r="A45" s="2">
        <v>21</v>
      </c>
      <c r="B45" s="2">
        <v>2</v>
      </c>
      <c r="C45" s="2" t="s">
        <v>22</v>
      </c>
      <c r="D45" s="2" t="s">
        <v>10</v>
      </c>
      <c r="E45">
        <v>200</v>
      </c>
      <c r="F45" s="4">
        <v>12300</v>
      </c>
      <c r="G45" s="4">
        <v>2236364</v>
      </c>
      <c r="H45" s="4">
        <v>223636</v>
      </c>
      <c r="I45" s="4">
        <v>2460000</v>
      </c>
    </row>
    <row r="46" spans="1:9">
      <c r="A46" s="2">
        <v>21</v>
      </c>
      <c r="B46" s="2">
        <v>3</v>
      </c>
      <c r="C46" s="2" t="s">
        <v>15</v>
      </c>
      <c r="D46" s="2" t="s">
        <v>18</v>
      </c>
      <c r="E46">
        <v>12</v>
      </c>
      <c r="F46" s="4">
        <v>16000</v>
      </c>
      <c r="G46" s="4">
        <v>174545</v>
      </c>
      <c r="H46" s="4">
        <v>17455</v>
      </c>
      <c r="I46" s="4">
        <v>192000</v>
      </c>
    </row>
    <row r="47" spans="1:9">
      <c r="A47" s="2">
        <v>22</v>
      </c>
      <c r="B47" s="2">
        <v>1</v>
      </c>
      <c r="C47" s="2" t="s">
        <v>14</v>
      </c>
      <c r="D47" s="2" t="s">
        <v>18</v>
      </c>
      <c r="E47">
        <v>5</v>
      </c>
      <c r="F47" s="4">
        <v>16500</v>
      </c>
      <c r="G47" s="4">
        <v>75000</v>
      </c>
      <c r="H47" s="4">
        <v>7500</v>
      </c>
      <c r="I47" s="4">
        <v>82500</v>
      </c>
    </row>
    <row r="48" spans="1:9">
      <c r="A48" s="2">
        <v>23</v>
      </c>
      <c r="B48" s="2">
        <v>1</v>
      </c>
      <c r="C48" s="2" t="s">
        <v>29</v>
      </c>
      <c r="D48" s="2" t="s">
        <v>10</v>
      </c>
      <c r="E48">
        <v>30</v>
      </c>
      <c r="F48" s="4">
        <v>16000</v>
      </c>
      <c r="G48" s="4">
        <v>436364</v>
      </c>
      <c r="H48" s="4">
        <v>43636</v>
      </c>
      <c r="I48" s="4">
        <v>480000</v>
      </c>
    </row>
    <row r="49" spans="1:9">
      <c r="A49" s="2">
        <v>23</v>
      </c>
      <c r="B49" s="2">
        <v>2</v>
      </c>
      <c r="C49" s="2" t="s">
        <v>23</v>
      </c>
      <c r="D49" s="2" t="s">
        <v>24</v>
      </c>
      <c r="E49">
        <v>6</v>
      </c>
      <c r="F49" s="4">
        <v>16000</v>
      </c>
      <c r="G49" s="4">
        <v>87273</v>
      </c>
      <c r="H49" s="4">
        <v>8727</v>
      </c>
      <c r="I49" s="4">
        <v>96000</v>
      </c>
    </row>
    <row r="50" spans="1:9">
      <c r="A50" s="2">
        <v>24</v>
      </c>
      <c r="B50" s="2">
        <v>1</v>
      </c>
      <c r="C50" s="2" t="s">
        <v>20</v>
      </c>
      <c r="D50" s="2" t="s">
        <v>16</v>
      </c>
      <c r="E50">
        <v>200</v>
      </c>
      <c r="F50" s="4">
        <v>12500</v>
      </c>
      <c r="G50" s="4">
        <v>2272727</v>
      </c>
      <c r="H50" s="4">
        <v>227273</v>
      </c>
      <c r="I50" s="4">
        <v>2500000</v>
      </c>
    </row>
    <row r="51" spans="1:9">
      <c r="A51" s="2">
        <v>25</v>
      </c>
      <c r="B51" s="2">
        <v>1</v>
      </c>
      <c r="C51" s="2" t="s">
        <v>22</v>
      </c>
      <c r="D51" s="2" t="s">
        <v>25</v>
      </c>
      <c r="E51">
        <v>300</v>
      </c>
      <c r="F51" s="4">
        <v>12300</v>
      </c>
      <c r="G51" s="4">
        <v>3354545</v>
      </c>
      <c r="H51" s="4">
        <v>335455</v>
      </c>
      <c r="I51" s="4">
        <v>3690000</v>
      </c>
    </row>
    <row r="52" spans="1:9">
      <c r="A52" s="2">
        <v>26</v>
      </c>
      <c r="B52" s="2">
        <v>1</v>
      </c>
      <c r="C52" s="2" t="s">
        <v>30</v>
      </c>
      <c r="D52" s="2" t="s">
        <v>19</v>
      </c>
      <c r="E52">
        <v>200</v>
      </c>
      <c r="F52" s="4">
        <v>8000</v>
      </c>
      <c r="G52" s="4">
        <v>1454545</v>
      </c>
      <c r="H52" s="4">
        <v>145455</v>
      </c>
      <c r="I52" s="4">
        <v>1600000</v>
      </c>
    </row>
    <row r="53" spans="1:9">
      <c r="A53" s="2">
        <v>26</v>
      </c>
      <c r="B53" s="2">
        <v>2</v>
      </c>
      <c r="C53" s="2" t="s">
        <v>28</v>
      </c>
      <c r="D53" s="2" t="s">
        <v>18</v>
      </c>
      <c r="E53">
        <v>6</v>
      </c>
      <c r="F53" s="4">
        <v>16000</v>
      </c>
      <c r="G53" s="4">
        <v>87273</v>
      </c>
      <c r="H53" s="4">
        <v>8727</v>
      </c>
      <c r="I53" s="4">
        <v>96000</v>
      </c>
    </row>
    <row r="54" spans="1:9">
      <c r="A54" s="2">
        <v>27</v>
      </c>
      <c r="B54" s="2">
        <v>1</v>
      </c>
      <c r="C54" s="2" t="s">
        <v>20</v>
      </c>
      <c r="D54" s="2" t="s">
        <v>16</v>
      </c>
      <c r="E54">
        <v>200</v>
      </c>
      <c r="F54" s="4">
        <v>12500</v>
      </c>
      <c r="G54" s="4">
        <v>2272727</v>
      </c>
      <c r="H54" s="4">
        <v>227273</v>
      </c>
      <c r="I54" s="4">
        <v>2500000</v>
      </c>
    </row>
    <row r="55" spans="1:9">
      <c r="A55" s="2">
        <v>28</v>
      </c>
      <c r="B55" s="2">
        <v>1</v>
      </c>
      <c r="C55" s="2" t="s">
        <v>21</v>
      </c>
      <c r="D55" s="2" t="s">
        <v>24</v>
      </c>
      <c r="E55">
        <v>100</v>
      </c>
      <c r="F55" s="4">
        <v>12500</v>
      </c>
      <c r="G55" s="4">
        <v>1136364</v>
      </c>
      <c r="H55" s="4">
        <v>113636</v>
      </c>
      <c r="I55" s="4">
        <v>1250000</v>
      </c>
    </row>
    <row r="56" spans="1:9">
      <c r="A56" s="2">
        <v>28</v>
      </c>
      <c r="B56" s="2">
        <v>2</v>
      </c>
      <c r="C56" s="2" t="s">
        <v>17</v>
      </c>
      <c r="D56" s="2" t="s">
        <v>12</v>
      </c>
      <c r="E56">
        <v>200</v>
      </c>
      <c r="F56" s="4">
        <v>12500</v>
      </c>
      <c r="G56" s="4">
        <v>2272727</v>
      </c>
      <c r="H56" s="4">
        <v>227273</v>
      </c>
      <c r="I56" s="4">
        <v>2500000</v>
      </c>
    </row>
    <row r="57" spans="1:9">
      <c r="A57" s="2">
        <v>28</v>
      </c>
      <c r="B57" s="2">
        <v>3</v>
      </c>
      <c r="C57" s="2" t="s">
        <v>21</v>
      </c>
      <c r="D57" s="2" t="s">
        <v>25</v>
      </c>
      <c r="E57">
        <v>100</v>
      </c>
      <c r="F57" s="4">
        <v>12500</v>
      </c>
      <c r="G57" s="4">
        <v>1136364</v>
      </c>
      <c r="H57" s="4">
        <v>113636</v>
      </c>
      <c r="I57" s="4">
        <v>1250000</v>
      </c>
    </row>
    <row r="58" spans="1:9">
      <c r="A58" s="2">
        <v>29</v>
      </c>
      <c r="B58" s="2">
        <v>1</v>
      </c>
      <c r="C58" s="2" t="s">
        <v>23</v>
      </c>
      <c r="D58" s="2" t="s">
        <v>10</v>
      </c>
      <c r="E58">
        <v>200</v>
      </c>
      <c r="F58" s="4">
        <v>12500</v>
      </c>
      <c r="G58" s="4">
        <v>2272727</v>
      </c>
      <c r="H58" s="4">
        <v>227273</v>
      </c>
      <c r="I58" s="4">
        <v>2500000</v>
      </c>
    </row>
    <row r="59" spans="1:9">
      <c r="A59" s="2">
        <v>30</v>
      </c>
      <c r="B59" s="2">
        <v>1</v>
      </c>
      <c r="C59" s="2" t="s">
        <v>30</v>
      </c>
      <c r="D59" s="2" t="s">
        <v>12</v>
      </c>
      <c r="E59">
        <v>200</v>
      </c>
      <c r="F59" s="4">
        <v>8000</v>
      </c>
      <c r="G59" s="4">
        <v>1454545</v>
      </c>
      <c r="H59" s="4">
        <v>145455</v>
      </c>
      <c r="I59" s="4">
        <v>1600000</v>
      </c>
    </row>
    <row r="60" spans="1:9">
      <c r="A60" s="2">
        <v>30</v>
      </c>
      <c r="B60" s="2">
        <v>2</v>
      </c>
      <c r="C60" s="2" t="s">
        <v>17</v>
      </c>
      <c r="D60" s="2" t="s">
        <v>25</v>
      </c>
      <c r="E60">
        <v>20</v>
      </c>
      <c r="F60" s="4">
        <v>16000</v>
      </c>
      <c r="G60" s="4">
        <v>290909</v>
      </c>
      <c r="H60" s="4">
        <v>29091</v>
      </c>
      <c r="I60" s="4">
        <v>320000</v>
      </c>
    </row>
  </sheetData>
  <phoneticPr fontId="1" type="noConversion"/>
  <printOptions horizontalCentered="1"/>
  <pageMargins left="0.39370078740157483" right="0.39370078740157483" top="1.1417322834645669" bottom="0.74803149606299213" header="0.31496062992125984" footer="0.31496062992125984"/>
  <pageSetup paperSize="9" orientation="portrait" verticalDpi="0" r:id="rId1"/>
  <headerFooter differentOddEven="1">
    <oddHeader>&amp;L&amp;P페이지</oddHeader>
    <evenHeader>&amp;R&amp;G</evenHeader>
  </headerFooter>
  <rowBreaks count="1" manualBreakCount="1">
    <brk id="30" max="16383" man="1"/>
  </row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I40"/>
  <sheetViews>
    <sheetView zoomScaleNormal="100" workbookViewId="0"/>
  </sheetViews>
  <sheetFormatPr defaultRowHeight="16.5"/>
  <cols>
    <col min="2" max="2" width="20.625" bestFit="1" customWidth="1"/>
    <col min="3" max="3" width="21.625" bestFit="1" customWidth="1"/>
    <col min="4" max="4" width="9.375" bestFit="1" customWidth="1"/>
    <col min="6" max="6" width="11" bestFit="1" customWidth="1"/>
    <col min="7" max="8" width="9" bestFit="1" customWidth="1"/>
    <col min="9" max="9" width="7.375" bestFit="1" customWidth="1"/>
  </cols>
  <sheetData>
    <row r="1" spans="1:9">
      <c r="A1" t="s">
        <v>0</v>
      </c>
      <c r="E1" t="s">
        <v>31</v>
      </c>
    </row>
    <row r="2" spans="1:9">
      <c r="A2" s="5" t="s">
        <v>32</v>
      </c>
      <c r="B2" s="6" t="s">
        <v>33</v>
      </c>
      <c r="C2" s="6" t="s">
        <v>34</v>
      </c>
      <c r="E2" s="5" t="s">
        <v>35</v>
      </c>
      <c r="F2" s="7">
        <v>0</v>
      </c>
      <c r="G2" s="7">
        <v>10</v>
      </c>
      <c r="H2" s="7">
        <v>20</v>
      </c>
      <c r="I2" s="7">
        <v>30</v>
      </c>
    </row>
    <row r="3" spans="1:9">
      <c r="A3" s="5" t="s">
        <v>36</v>
      </c>
      <c r="B3" s="5">
        <f t="array" ref="B3">LARGE(IF(($B$10:$B$25=A3)*( (RIGHT($A$10:$A$25,1)="1")+(RIGHT($A$10:$A$25,1)="2") ),$D$10:$D$25),2)</f>
        <v>15</v>
      </c>
      <c r="C3" s="5">
        <f>COUNTIFS($B$10:$B$25,A3,$D$10:$D$25,"&gt;=20")</f>
        <v>4</v>
      </c>
      <c r="E3" s="5" t="s">
        <v>37</v>
      </c>
      <c r="F3" s="8">
        <v>3750</v>
      </c>
      <c r="G3" s="8">
        <v>3500</v>
      </c>
      <c r="H3" s="8">
        <v>3350</v>
      </c>
      <c r="I3" s="8">
        <v>3100</v>
      </c>
    </row>
    <row r="4" spans="1:9">
      <c r="A4" s="5" t="s">
        <v>38</v>
      </c>
      <c r="B4" s="5">
        <f t="array" ref="B4">LARGE(IF(($B$10:$B$25=A4)*( (RIGHT($A$10:$A$25,1)="1")+(RIGHT($A$10:$A$25,1)="2") ),$D$10:$D$25),2)</f>
        <v>18</v>
      </c>
      <c r="C4" s="5">
        <f t="shared" ref="C4:C5" si="0">COUNTIFS($B$10:$B$25,A4,$D$10:$D$25,"&gt;=20")</f>
        <v>1</v>
      </c>
      <c r="E4" s="5" t="s">
        <v>39</v>
      </c>
      <c r="F4" s="8">
        <v>1700</v>
      </c>
      <c r="G4" s="8">
        <v>1500</v>
      </c>
      <c r="H4" s="8">
        <v>1400</v>
      </c>
      <c r="I4" s="8">
        <v>1300</v>
      </c>
    </row>
    <row r="5" spans="1:9">
      <c r="A5" s="5" t="s">
        <v>40</v>
      </c>
      <c r="B5" s="5">
        <f t="array" ref="B5">LARGE(IF(($B$10:$B$25=A5)*( (RIGHT($A$10:$A$25,1)="1")+(RIGHT($A$10:$A$25,1)="2") ),$D$10:$D$25),2)</f>
        <v>20</v>
      </c>
      <c r="C5" s="5">
        <f t="shared" si="0"/>
        <v>3</v>
      </c>
    </row>
    <row r="8" spans="1:9">
      <c r="A8" t="s">
        <v>41</v>
      </c>
      <c r="B8" t="s">
        <v>42</v>
      </c>
    </row>
    <row r="9" spans="1:9">
      <c r="A9" s="5" t="s">
        <v>43</v>
      </c>
      <c r="B9" s="5" t="s">
        <v>32</v>
      </c>
      <c r="C9" s="6" t="s">
        <v>44</v>
      </c>
      <c r="D9" s="5" t="s">
        <v>45</v>
      </c>
      <c r="E9" s="6" t="s">
        <v>46</v>
      </c>
      <c r="F9" s="5" t="s">
        <v>47</v>
      </c>
      <c r="G9" s="6" t="s">
        <v>48</v>
      </c>
      <c r="H9" s="6" t="s">
        <v>49</v>
      </c>
    </row>
    <row r="10" spans="1:9">
      <c r="A10" s="5" t="s">
        <v>50</v>
      </c>
      <c r="B10" s="5" t="s">
        <v>36</v>
      </c>
      <c r="C10" s="5" t="str">
        <f>SUBSTITUTE(A10,LEFT(A10,1),LEFT(B10,1))</f>
        <v>녹001</v>
      </c>
      <c r="D10" s="7">
        <v>38</v>
      </c>
      <c r="E10" s="8">
        <f>HLOOKUP(D10,$F$2:$I$4,MATCH(LEFT(A10,1),{"다","나"},-1)+1)</f>
        <v>1300</v>
      </c>
      <c r="F10" s="9">
        <v>0.1</v>
      </c>
      <c r="G10" s="8">
        <f>PRODUCT(D10:F10)</f>
        <v>4940</v>
      </c>
      <c r="H10" s="8" t="e" cm="1">
        <f t="array" aca="1" ref="H10" ca="1">fn생산단가(A10,E10)</f>
        <v>#NAME?</v>
      </c>
    </row>
    <row r="11" spans="1:9">
      <c r="A11" s="5" t="s">
        <v>51</v>
      </c>
      <c r="B11" s="5" t="s">
        <v>40</v>
      </c>
      <c r="C11" s="5" t="str">
        <f t="shared" ref="C11:C25" si="1">SUBSTITUTE(A11,LEFT(A11,1),LEFT(B11,1))</f>
        <v>카002</v>
      </c>
      <c r="D11" s="7">
        <v>26</v>
      </c>
      <c r="E11" s="8">
        <f>HLOOKUP(D11,$F$2:$I$4,MATCH(LEFT(A11,1),{"다","나"},-1)+1)</f>
        <v>1400</v>
      </c>
      <c r="F11" s="9">
        <v>0.08</v>
      </c>
      <c r="G11" s="8">
        <f t="shared" ref="G11:G25" si="2">PRODUCT(D11:F11)</f>
        <v>2912</v>
      </c>
      <c r="H11" s="8" t="e" cm="1">
        <f t="array" aca="1" ref="H11" ca="1">fn생산단가(A11,E11)</f>
        <v>#NAME?</v>
      </c>
    </row>
    <row r="12" spans="1:9">
      <c r="A12" s="5" t="s">
        <v>51</v>
      </c>
      <c r="B12" s="5" t="s">
        <v>40</v>
      </c>
      <c r="C12" s="5" t="str">
        <f t="shared" si="1"/>
        <v>카002</v>
      </c>
      <c r="D12" s="7">
        <v>20</v>
      </c>
      <c r="E12" s="8">
        <f>HLOOKUP(D12,$F$2:$I$4,MATCH(LEFT(A12,1),{"다","나"},-1)+1)</f>
        <v>1400</v>
      </c>
      <c r="F12" s="9">
        <v>0.08</v>
      </c>
      <c r="G12" s="8">
        <f t="shared" si="2"/>
        <v>2240</v>
      </c>
      <c r="H12" s="8" t="e" cm="1">
        <f t="array" aca="1" ref="H12" ca="1">fn생산단가(A12,E12)</f>
        <v>#NAME?</v>
      </c>
    </row>
    <row r="13" spans="1:9">
      <c r="A13" s="5" t="s">
        <v>52</v>
      </c>
      <c r="B13" s="5" t="s">
        <v>36</v>
      </c>
      <c r="C13" s="5" t="str">
        <f t="shared" si="1"/>
        <v>녹011</v>
      </c>
      <c r="D13" s="7">
        <v>5</v>
      </c>
      <c r="E13" s="8">
        <f>HLOOKUP(D13,$F$2:$I$4,MATCH(LEFT(A13,1),{"다","나"},-1)+1)</f>
        <v>1700</v>
      </c>
      <c r="F13" s="9">
        <v>0.03</v>
      </c>
      <c r="G13" s="8">
        <f t="shared" si="2"/>
        <v>255</v>
      </c>
      <c r="H13" s="8" t="e" cm="1">
        <f t="array" aca="1" ref="H13" ca="1">fn생산단가(A13,E13)</f>
        <v>#NAME?</v>
      </c>
    </row>
    <row r="14" spans="1:9">
      <c r="A14" s="5" t="s">
        <v>53</v>
      </c>
      <c r="B14" s="5" t="s">
        <v>36</v>
      </c>
      <c r="C14" s="5" t="str">
        <f t="shared" si="1"/>
        <v>녹021</v>
      </c>
      <c r="D14" s="7">
        <v>5</v>
      </c>
      <c r="E14" s="8">
        <f>HLOOKUP(D14,$F$2:$I$4,MATCH(LEFT(A14,1),{"다","나"},-1)+1)</f>
        <v>1700</v>
      </c>
      <c r="F14" s="9">
        <v>0.03</v>
      </c>
      <c r="G14" s="8">
        <f t="shared" si="2"/>
        <v>255</v>
      </c>
      <c r="H14" s="8" t="e" cm="1">
        <f t="array" aca="1" ref="H14" ca="1">fn생산단가(A14,E14)</f>
        <v>#NAME?</v>
      </c>
    </row>
    <row r="15" spans="1:9">
      <c r="A15" s="5" t="s">
        <v>54</v>
      </c>
      <c r="B15" s="5" t="s">
        <v>38</v>
      </c>
      <c r="C15" s="5" t="str">
        <f t="shared" si="1"/>
        <v>세003</v>
      </c>
      <c r="D15" s="7">
        <v>12</v>
      </c>
      <c r="E15" s="8">
        <f>HLOOKUP(D15,$F$2:$I$4,MATCH(LEFT(A15,1),{"다","나"},-1)+1)</f>
        <v>3500</v>
      </c>
      <c r="F15" s="9">
        <v>0.05</v>
      </c>
      <c r="G15" s="8">
        <f t="shared" si="2"/>
        <v>2100</v>
      </c>
      <c r="H15" s="8" t="e" cm="1">
        <f t="array" aca="1" ref="H15" ca="1">fn생산단가(A15,E15)</f>
        <v>#NAME?</v>
      </c>
    </row>
    <row r="16" spans="1:9">
      <c r="A16" s="5" t="s">
        <v>55</v>
      </c>
      <c r="B16" s="5" t="s">
        <v>40</v>
      </c>
      <c r="C16" s="5" t="str">
        <f t="shared" si="1"/>
        <v>카004</v>
      </c>
      <c r="D16" s="7">
        <v>12</v>
      </c>
      <c r="E16" s="8">
        <f>HLOOKUP(D16,$F$2:$I$4,MATCH(LEFT(A16,1),{"다","나"},-1)+1)</f>
        <v>1500</v>
      </c>
      <c r="F16" s="9">
        <v>0.05</v>
      </c>
      <c r="G16" s="8">
        <f t="shared" si="2"/>
        <v>900</v>
      </c>
      <c r="H16" s="8" t="e" cm="1">
        <f t="array" aca="1" ref="H16" ca="1">fn생산단가(A16,E16)</f>
        <v>#NAME?</v>
      </c>
    </row>
    <row r="17" spans="1:8">
      <c r="A17" s="5" t="s">
        <v>56</v>
      </c>
      <c r="B17" s="5" t="s">
        <v>38</v>
      </c>
      <c r="C17" s="5" t="str">
        <f t="shared" si="1"/>
        <v>세002</v>
      </c>
      <c r="D17" s="7">
        <v>23</v>
      </c>
      <c r="E17" s="8">
        <f>HLOOKUP(D17,$F$2:$I$4,MATCH(LEFT(A17,1),{"다","나"},-1)+1)</f>
        <v>3350</v>
      </c>
      <c r="F17" s="9">
        <v>0.08</v>
      </c>
      <c r="G17" s="8">
        <f t="shared" si="2"/>
        <v>6164</v>
      </c>
      <c r="H17" s="8" t="e" cm="1">
        <f t="array" aca="1" ref="H17" ca="1">fn생산단가(A17,E17)</f>
        <v>#NAME?</v>
      </c>
    </row>
    <row r="18" spans="1:8">
      <c r="A18" s="5" t="s">
        <v>57</v>
      </c>
      <c r="B18" s="5" t="s">
        <v>36</v>
      </c>
      <c r="C18" s="5" t="str">
        <f t="shared" si="1"/>
        <v>녹005</v>
      </c>
      <c r="D18" s="7">
        <v>38</v>
      </c>
      <c r="E18" s="8">
        <f>HLOOKUP(D18,$F$2:$I$4,MATCH(LEFT(A18,1),{"다","나"},-1)+1)</f>
        <v>1300</v>
      </c>
      <c r="F18" s="9">
        <v>0.1</v>
      </c>
      <c r="G18" s="8">
        <f t="shared" si="2"/>
        <v>4940</v>
      </c>
      <c r="H18" s="8" t="e" cm="1">
        <f t="array" aca="1" ref="H18" ca="1">fn생산단가(A18,E18)</f>
        <v>#NAME?</v>
      </c>
    </row>
    <row r="19" spans="1:8">
      <c r="A19" s="5" t="s">
        <v>58</v>
      </c>
      <c r="B19" s="5" t="s">
        <v>36</v>
      </c>
      <c r="C19" s="5" t="str">
        <f t="shared" si="1"/>
        <v>녹052</v>
      </c>
      <c r="D19" s="7">
        <v>15</v>
      </c>
      <c r="E19" s="8">
        <f>HLOOKUP(D19,$F$2:$I$4,MATCH(LEFT(A19,1),{"다","나"},-1)+1)</f>
        <v>1500</v>
      </c>
      <c r="F19" s="9">
        <v>0.05</v>
      </c>
      <c r="G19" s="8">
        <f t="shared" si="2"/>
        <v>1125</v>
      </c>
      <c r="H19" s="8" t="e" cm="1">
        <f t="array" aca="1" ref="H19" ca="1">fn생산단가(A19,E19)</f>
        <v>#NAME?</v>
      </c>
    </row>
    <row r="20" spans="1:8">
      <c r="A20" s="5" t="s">
        <v>59</v>
      </c>
      <c r="B20" s="5" t="s">
        <v>36</v>
      </c>
      <c r="C20" s="5" t="str">
        <f t="shared" si="1"/>
        <v>녹351</v>
      </c>
      <c r="D20" s="7">
        <v>8</v>
      </c>
      <c r="E20" s="8">
        <f>HLOOKUP(D20,$F$2:$I$4,MATCH(LEFT(A20,1),{"다","나"},-1)+1)</f>
        <v>1700</v>
      </c>
      <c r="F20" s="9">
        <v>0.03</v>
      </c>
      <c r="G20" s="8">
        <f t="shared" si="2"/>
        <v>408</v>
      </c>
      <c r="H20" s="8" t="e" cm="1">
        <f t="array" aca="1" ref="H20" ca="1">fn생산단가(A20,E20)</f>
        <v>#NAME?</v>
      </c>
    </row>
    <row r="21" spans="1:8">
      <c r="A21" s="5" t="s">
        <v>60</v>
      </c>
      <c r="B21" s="5" t="s">
        <v>40</v>
      </c>
      <c r="C21" s="5" t="str">
        <f t="shared" si="1"/>
        <v>카154</v>
      </c>
      <c r="D21" s="7">
        <v>35</v>
      </c>
      <c r="E21" s="8">
        <f>HLOOKUP(D21,$F$2:$I$4,MATCH(LEFT(A21,1),{"다","나"},-1)+1)</f>
        <v>1300</v>
      </c>
      <c r="F21" s="9">
        <v>0.1</v>
      </c>
      <c r="G21" s="8">
        <f t="shared" si="2"/>
        <v>4550</v>
      </c>
      <c r="H21" s="8" t="e" cm="1">
        <f t="array" aca="1" ref="H21" ca="1">fn생산단가(A21,E21)</f>
        <v>#NAME?</v>
      </c>
    </row>
    <row r="22" spans="1:8">
      <c r="A22" s="5" t="s">
        <v>61</v>
      </c>
      <c r="B22" s="5" t="s">
        <v>38</v>
      </c>
      <c r="C22" s="5" t="str">
        <f t="shared" si="1"/>
        <v>세502</v>
      </c>
      <c r="D22" s="7">
        <v>18</v>
      </c>
      <c r="E22" s="8">
        <f>HLOOKUP(D22,$F$2:$I$4,MATCH(LEFT(A22,1),{"다","나"},-1)+1)</f>
        <v>3500</v>
      </c>
      <c r="F22" s="9">
        <v>0.05</v>
      </c>
      <c r="G22" s="8">
        <f t="shared" si="2"/>
        <v>3150</v>
      </c>
      <c r="H22" s="8" t="e" cm="1">
        <f t="array" aca="1" ref="H22" ca="1">fn생산단가(A22,E22)</f>
        <v>#NAME?</v>
      </c>
    </row>
    <row r="23" spans="1:8">
      <c r="A23" s="5" t="s">
        <v>62</v>
      </c>
      <c r="B23" s="5" t="s">
        <v>36</v>
      </c>
      <c r="C23" s="5" t="str">
        <f t="shared" si="1"/>
        <v>녹125</v>
      </c>
      <c r="D23" s="7">
        <v>23</v>
      </c>
      <c r="E23" s="8">
        <f>HLOOKUP(D23,$F$2:$I$4,MATCH(LEFT(A23,1),{"다","나"},-1)+1)</f>
        <v>1400</v>
      </c>
      <c r="F23" s="9">
        <v>0.08</v>
      </c>
      <c r="G23" s="8">
        <f t="shared" si="2"/>
        <v>2576</v>
      </c>
      <c r="H23" s="8" t="e" cm="1">
        <f t="array" aca="1" ref="H23" ca="1">fn생산단가(A23,E23)</f>
        <v>#NAME?</v>
      </c>
    </row>
    <row r="24" spans="1:8">
      <c r="A24" s="5" t="s">
        <v>63</v>
      </c>
      <c r="B24" s="5" t="s">
        <v>36</v>
      </c>
      <c r="C24" s="5" t="str">
        <f t="shared" si="1"/>
        <v>녹253</v>
      </c>
      <c r="D24" s="7">
        <v>35</v>
      </c>
      <c r="E24" s="8">
        <f>HLOOKUP(D24,$F$2:$I$4,MATCH(LEFT(A24,1),{"다","나"},-1)+1)</f>
        <v>1300</v>
      </c>
      <c r="F24" s="9">
        <v>0.1</v>
      </c>
      <c r="G24" s="8">
        <f t="shared" si="2"/>
        <v>4550</v>
      </c>
      <c r="H24" s="8" t="e" cm="1">
        <f t="array" aca="1" ref="H24" ca="1">fn생산단가(A24,E24)</f>
        <v>#NAME?</v>
      </c>
    </row>
    <row r="25" spans="1:8">
      <c r="A25" s="5" t="s">
        <v>64</v>
      </c>
      <c r="B25" s="5" t="s">
        <v>38</v>
      </c>
      <c r="C25" s="5" t="str">
        <f t="shared" si="1"/>
        <v>세244</v>
      </c>
      <c r="D25" s="7">
        <v>10</v>
      </c>
      <c r="E25" s="8">
        <f>HLOOKUP(D25,$F$2:$I$4,MATCH(LEFT(A25,1),{"다","나"},-1)+1)</f>
        <v>3500</v>
      </c>
      <c r="F25" s="9">
        <v>0.05</v>
      </c>
      <c r="G25" s="8">
        <f t="shared" si="2"/>
        <v>1750</v>
      </c>
      <c r="H25" s="8" t="e" cm="1">
        <f t="array" aca="1" ref="H25" ca="1">fn생산단가(A25,E25)</f>
        <v>#NAME?</v>
      </c>
    </row>
    <row r="27" spans="1:8">
      <c r="A27" t="s">
        <v>65</v>
      </c>
    </row>
    <row r="28" spans="1:8">
      <c r="A28" s="21"/>
      <c r="B28" s="10" t="s">
        <v>45</v>
      </c>
      <c r="C28" s="11"/>
      <c r="D28" s="11"/>
      <c r="E28" s="12"/>
    </row>
    <row r="29" spans="1:8">
      <c r="A29" s="10" t="s">
        <v>66</v>
      </c>
      <c r="B29" s="13">
        <v>30</v>
      </c>
      <c r="C29" s="13">
        <v>20</v>
      </c>
      <c r="D29" s="13">
        <v>10</v>
      </c>
      <c r="E29" s="13">
        <v>0</v>
      </c>
    </row>
    <row r="30" spans="1:8">
      <c r="A30" s="5" t="s">
        <v>36</v>
      </c>
      <c r="B30" s="7">
        <f t="array" ref="B30">SUM(($B$10:$B$25=$A30)*($D$10:$D$25&gt;=B$29))</f>
        <v>3</v>
      </c>
      <c r="C30" s="7">
        <f t="array" ref="C30">SUM(($B$10:$B$25=$A30)*($D$10:$D$25&gt;=C$29))</f>
        <v>4</v>
      </c>
      <c r="D30" s="7">
        <f t="array" ref="D30">SUM(($B$10:$B$25=$A30)*($D$10:$D$25&gt;=D$29))</f>
        <v>5</v>
      </c>
      <c r="E30" s="7">
        <f t="array" ref="E30">SUM(($B$10:$B$25=$A30)*($D$10:$D$25&gt;=E$29))</f>
        <v>8</v>
      </c>
    </row>
    <row r="31" spans="1:8">
      <c r="A31" s="5" t="s">
        <v>38</v>
      </c>
      <c r="B31" s="7">
        <f t="array" ref="B31">SUM(($B$10:$B$25=$A31)*($D$10:$D$25&gt;=B$29))</f>
        <v>0</v>
      </c>
      <c r="C31" s="7">
        <f t="array" ref="C31">SUM(($B$10:$B$25=$A31)*($D$10:$D$25&gt;=C$29))</f>
        <v>1</v>
      </c>
      <c r="D31" s="7">
        <f t="array" ref="D31">SUM(($B$10:$B$25=$A31)*($D$10:$D$25&gt;=D$29))</f>
        <v>4</v>
      </c>
      <c r="E31" s="7">
        <f t="array" ref="E31">SUM(($B$10:$B$25=$A31)*($D$10:$D$25&gt;=E$29))</f>
        <v>4</v>
      </c>
    </row>
    <row r="32" spans="1:8">
      <c r="A32" s="5" t="s">
        <v>40</v>
      </c>
      <c r="B32" s="7">
        <f t="array" ref="B32">SUM(($B$10:$B$25=$A32)*($D$10:$D$25&gt;=B$29))</f>
        <v>1</v>
      </c>
      <c r="C32" s="7">
        <f t="array" ref="C32">SUM(($B$10:$B$25=$A32)*($D$10:$D$25&gt;=C$29))</f>
        <v>3</v>
      </c>
      <c r="D32" s="7">
        <f t="array" ref="D32">SUM(($B$10:$B$25=$A32)*($D$10:$D$25&gt;=D$29))</f>
        <v>4</v>
      </c>
      <c r="E32" s="7">
        <f t="array" ref="E32">SUM(($B$10:$B$25=$A32)*($D$10:$D$25&gt;=E$29))</f>
        <v>4</v>
      </c>
    </row>
    <row r="34" spans="1:6">
      <c r="A34" t="s">
        <v>67</v>
      </c>
      <c r="B34" t="s">
        <v>68</v>
      </c>
      <c r="F34" s="14"/>
    </row>
    <row r="35" spans="1:6">
      <c r="A35" s="5" t="s">
        <v>69</v>
      </c>
      <c r="B35" s="5" t="s">
        <v>70</v>
      </c>
      <c r="C35" s="5" t="s">
        <v>71</v>
      </c>
      <c r="D35" s="5" t="s">
        <v>72</v>
      </c>
      <c r="E35" s="5" t="s">
        <v>73</v>
      </c>
      <c r="F35" s="6" t="s">
        <v>130</v>
      </c>
    </row>
    <row r="36" spans="1:6">
      <c r="A36" s="5" t="s">
        <v>74</v>
      </c>
      <c r="B36" s="15">
        <v>45047</v>
      </c>
      <c r="C36" s="8">
        <v>1500000</v>
      </c>
      <c r="D36" s="8">
        <v>200000</v>
      </c>
      <c r="E36" s="7">
        <v>5</v>
      </c>
      <c r="F36" s="20">
        <f>SLN(C36,D36,E36)</f>
        <v>260000</v>
      </c>
    </row>
    <row r="37" spans="1:6">
      <c r="A37" s="5" t="s">
        <v>75</v>
      </c>
      <c r="B37" s="15">
        <v>45219</v>
      </c>
      <c r="C37" s="8">
        <v>450000</v>
      </c>
      <c r="D37" s="8">
        <v>100000</v>
      </c>
      <c r="E37" s="7">
        <v>5</v>
      </c>
      <c r="F37" s="20">
        <f t="shared" ref="F37:F40" si="3">SLN(C37,D37,E37)</f>
        <v>70000</v>
      </c>
    </row>
    <row r="38" spans="1:6">
      <c r="A38" s="5" t="s">
        <v>76</v>
      </c>
      <c r="B38" s="15">
        <v>43954</v>
      </c>
      <c r="C38" s="8">
        <v>500000</v>
      </c>
      <c r="D38" s="8">
        <v>100000</v>
      </c>
      <c r="E38" s="7">
        <v>5</v>
      </c>
      <c r="F38" s="20">
        <f t="shared" si="3"/>
        <v>80000</v>
      </c>
    </row>
    <row r="39" spans="1:6">
      <c r="A39" s="5" t="s">
        <v>13</v>
      </c>
      <c r="B39" s="15">
        <v>44442</v>
      </c>
      <c r="C39" s="8">
        <v>780000</v>
      </c>
      <c r="D39" s="8">
        <v>100000</v>
      </c>
      <c r="E39" s="7">
        <v>5</v>
      </c>
      <c r="F39" s="20">
        <f t="shared" si="3"/>
        <v>136000</v>
      </c>
    </row>
    <row r="40" spans="1:6">
      <c r="A40" s="5" t="s">
        <v>77</v>
      </c>
      <c r="B40" s="15">
        <v>45189</v>
      </c>
      <c r="C40" s="8">
        <v>300000</v>
      </c>
      <c r="D40" s="8">
        <v>50000</v>
      </c>
      <c r="E40" s="7">
        <v>5</v>
      </c>
      <c r="F40" s="20">
        <f t="shared" si="3"/>
        <v>50000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ECFAD-738F-4450-8AAE-9A122B8EEA85}">
  <dimension ref="A1:K4"/>
  <sheetViews>
    <sheetView workbookViewId="0"/>
  </sheetViews>
  <sheetFormatPr defaultRowHeight="16.5"/>
  <cols>
    <col min="3" max="3" width="14" customWidth="1"/>
    <col min="5" max="5" width="11.125" bestFit="1" customWidth="1"/>
    <col min="9" max="9" width="12.125" customWidth="1"/>
  </cols>
  <sheetData>
    <row r="1" spans="1:11">
      <c r="A1" t="s">
        <v>165</v>
      </c>
      <c r="B1" t="s">
        <v>132</v>
      </c>
      <c r="C1" t="s">
        <v>166</v>
      </c>
      <c r="D1" t="s">
        <v>167</v>
      </c>
      <c r="E1" t="s">
        <v>146</v>
      </c>
      <c r="F1" t="s">
        <v>89</v>
      </c>
      <c r="G1" t="s">
        <v>140</v>
      </c>
      <c r="H1" t="s">
        <v>168</v>
      </c>
      <c r="I1" t="s">
        <v>169</v>
      </c>
      <c r="J1" t="s">
        <v>147</v>
      </c>
      <c r="K1" t="s">
        <v>170</v>
      </c>
    </row>
    <row r="2" spans="1:11">
      <c r="A2" t="s">
        <v>171</v>
      </c>
      <c r="B2" t="s">
        <v>172</v>
      </c>
      <c r="C2" t="s">
        <v>173</v>
      </c>
      <c r="D2" t="s">
        <v>174</v>
      </c>
      <c r="E2" s="24">
        <v>43066</v>
      </c>
      <c r="F2" t="s">
        <v>143</v>
      </c>
      <c r="G2" t="s">
        <v>137</v>
      </c>
      <c r="H2" t="s">
        <v>175</v>
      </c>
      <c r="I2">
        <v>2</v>
      </c>
      <c r="J2">
        <v>1000000</v>
      </c>
      <c r="K2">
        <v>0</v>
      </c>
    </row>
    <row r="3" spans="1:11">
      <c r="A3" t="s">
        <v>176</v>
      </c>
      <c r="B3" t="s">
        <v>145</v>
      </c>
      <c r="C3" t="s">
        <v>177</v>
      </c>
      <c r="D3" t="s">
        <v>178</v>
      </c>
      <c r="E3" s="24">
        <v>44462</v>
      </c>
      <c r="F3" t="s">
        <v>143</v>
      </c>
      <c r="G3" t="s">
        <v>137</v>
      </c>
      <c r="H3" t="s">
        <v>179</v>
      </c>
      <c r="I3">
        <v>1</v>
      </c>
      <c r="J3">
        <v>950000</v>
      </c>
      <c r="K3">
        <v>0</v>
      </c>
    </row>
    <row r="4" spans="1:11">
      <c r="A4" t="s">
        <v>180</v>
      </c>
      <c r="B4" t="s">
        <v>181</v>
      </c>
      <c r="C4" t="s">
        <v>182</v>
      </c>
      <c r="D4" t="s">
        <v>183</v>
      </c>
      <c r="E4" s="24">
        <v>43174</v>
      </c>
      <c r="F4" t="s">
        <v>143</v>
      </c>
      <c r="G4" t="s">
        <v>137</v>
      </c>
      <c r="H4" t="s">
        <v>184</v>
      </c>
      <c r="I4">
        <v>4</v>
      </c>
      <c r="J4">
        <v>1000000</v>
      </c>
      <c r="K4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2:G15"/>
  <sheetViews>
    <sheetView workbookViewId="0"/>
  </sheetViews>
  <sheetFormatPr defaultRowHeight="16.5"/>
  <cols>
    <col min="1" max="1" width="7.5" bestFit="1" customWidth="1"/>
    <col min="2" max="7" width="13.125" bestFit="1" customWidth="1"/>
  </cols>
  <sheetData>
    <row r="2" spans="1:7">
      <c r="A2" s="22" t="s">
        <v>132</v>
      </c>
      <c r="B2" t="s">
        <v>133</v>
      </c>
    </row>
    <row r="4" spans="1:7">
      <c r="B4" s="22" t="s">
        <v>140</v>
      </c>
      <c r="C4" s="22" t="s">
        <v>141</v>
      </c>
    </row>
    <row r="5" spans="1:7">
      <c r="B5" t="s">
        <v>137</v>
      </c>
      <c r="D5" t="s">
        <v>164</v>
      </c>
      <c r="F5" t="s">
        <v>138</v>
      </c>
    </row>
    <row r="6" spans="1:7">
      <c r="A6" s="22" t="s">
        <v>89</v>
      </c>
      <c r="B6" t="s">
        <v>139</v>
      </c>
      <c r="C6" t="s">
        <v>142</v>
      </c>
      <c r="D6" t="s">
        <v>139</v>
      </c>
      <c r="E6" t="s">
        <v>142</v>
      </c>
      <c r="F6" t="s">
        <v>139</v>
      </c>
      <c r="G6" t="s">
        <v>142</v>
      </c>
    </row>
    <row r="7" spans="1:7">
      <c r="A7" t="s">
        <v>136</v>
      </c>
      <c r="B7" s="23">
        <v>2000000</v>
      </c>
      <c r="C7" s="23">
        <v>300000</v>
      </c>
      <c r="D7" s="23">
        <v>2700000</v>
      </c>
      <c r="E7" s="23">
        <v>410000</v>
      </c>
      <c r="F7" s="23">
        <v>950000</v>
      </c>
      <c r="G7" s="23">
        <v>140000</v>
      </c>
    </row>
    <row r="8" spans="1:7">
      <c r="A8" t="s">
        <v>163</v>
      </c>
      <c r="B8" s="23">
        <v>2000000</v>
      </c>
      <c r="C8" s="23">
        <v>300000</v>
      </c>
      <c r="D8" s="23">
        <v>1800000</v>
      </c>
      <c r="E8" s="23">
        <v>270000</v>
      </c>
      <c r="F8" s="23">
        <v>950000</v>
      </c>
      <c r="G8" s="23">
        <v>140000</v>
      </c>
    </row>
    <row r="9" spans="1:7">
      <c r="A9" t="s">
        <v>135</v>
      </c>
      <c r="B9" s="23">
        <v>1950000</v>
      </c>
      <c r="C9" s="23">
        <v>290000</v>
      </c>
      <c r="D9" s="23">
        <v>900000</v>
      </c>
      <c r="E9" s="23">
        <v>140000</v>
      </c>
      <c r="F9" s="23">
        <v>950000</v>
      </c>
      <c r="G9" s="23">
        <v>140000</v>
      </c>
    </row>
    <row r="10" spans="1:7">
      <c r="A10" t="s">
        <v>143</v>
      </c>
      <c r="B10" s="23">
        <v>2950000</v>
      </c>
      <c r="C10" s="23">
        <v>440000</v>
      </c>
      <c r="D10" s="23"/>
      <c r="E10" s="23">
        <v>0</v>
      </c>
      <c r="F10" s="23">
        <v>950000</v>
      </c>
      <c r="G10" s="23">
        <v>140000</v>
      </c>
    </row>
    <row r="11" spans="1:7">
      <c r="A11" t="s">
        <v>162</v>
      </c>
      <c r="B11" s="23"/>
      <c r="C11" s="23">
        <v>0</v>
      </c>
      <c r="D11" s="23">
        <v>900000</v>
      </c>
      <c r="E11" s="23">
        <v>140000</v>
      </c>
      <c r="F11" s="23"/>
      <c r="G11" s="23">
        <v>0</v>
      </c>
    </row>
    <row r="12" spans="1:7">
      <c r="A12" t="s">
        <v>161</v>
      </c>
      <c r="B12" s="23">
        <v>1000000</v>
      </c>
      <c r="C12" s="23">
        <v>150000</v>
      </c>
      <c r="D12" s="23">
        <v>1800000</v>
      </c>
      <c r="E12" s="23">
        <v>270000</v>
      </c>
      <c r="F12" s="23"/>
      <c r="G12" s="23">
        <v>0</v>
      </c>
    </row>
    <row r="13" spans="1:7">
      <c r="A13" t="s">
        <v>134</v>
      </c>
      <c r="B13" s="23"/>
      <c r="C13" s="23">
        <v>0</v>
      </c>
      <c r="D13" s="23">
        <v>2700000</v>
      </c>
      <c r="E13" s="23">
        <v>410000</v>
      </c>
      <c r="F13" s="23">
        <v>950000</v>
      </c>
      <c r="G13" s="23">
        <v>140000</v>
      </c>
    </row>
    <row r="14" spans="1:7">
      <c r="A14" t="s">
        <v>144</v>
      </c>
      <c r="B14" s="23"/>
      <c r="C14" s="23">
        <v>0</v>
      </c>
      <c r="D14" s="23"/>
      <c r="E14" s="23">
        <v>0</v>
      </c>
      <c r="F14" s="23">
        <v>1900000</v>
      </c>
      <c r="G14" s="23">
        <v>290000</v>
      </c>
    </row>
    <row r="15" spans="1:7">
      <c r="A15" t="s">
        <v>160</v>
      </c>
      <c r="B15" s="23">
        <v>1000000</v>
      </c>
      <c r="C15" s="23">
        <v>150000</v>
      </c>
      <c r="D15" s="23"/>
      <c r="E15" s="23">
        <v>0</v>
      </c>
      <c r="F15" s="23"/>
      <c r="G15" s="23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DFD48-059B-4E36-8BE7-28D668B67319}">
  <sheetPr codeName="Sheet10">
    <outlinePr summaryBelow="0"/>
  </sheetPr>
  <dimension ref="B1:F12"/>
  <sheetViews>
    <sheetView showGridLines="0" workbookViewId="0"/>
  </sheetViews>
  <sheetFormatPr defaultRowHeight="16.5" outlineLevelRow="1" outlineLevelCol="1"/>
  <cols>
    <col min="3" max="3" width="6.625" bestFit="1" customWidth="1"/>
    <col min="4" max="6" width="10.875" bestFit="1" customWidth="1" outlineLevel="1"/>
  </cols>
  <sheetData>
    <row r="1" spans="2:6" ht="17.25" thickBot="1"/>
    <row r="2" spans="2:6">
      <c r="B2" s="27" t="s">
        <v>153</v>
      </c>
      <c r="C2" s="28"/>
      <c r="D2" s="33"/>
      <c r="E2" s="33"/>
      <c r="F2" s="33"/>
    </row>
    <row r="3" spans="2:6" collapsed="1">
      <c r="B3" s="26"/>
      <c r="C3" s="26"/>
      <c r="D3" s="34" t="s">
        <v>155</v>
      </c>
      <c r="E3" s="34" t="s">
        <v>151</v>
      </c>
      <c r="F3" s="34" t="s">
        <v>152</v>
      </c>
    </row>
    <row r="4" spans="2:6" hidden="1" outlineLevel="1">
      <c r="B4" s="29"/>
      <c r="C4" s="29"/>
      <c r="E4" s="36"/>
      <c r="F4" s="36"/>
    </row>
    <row r="5" spans="2:6">
      <c r="B5" s="30" t="s">
        <v>154</v>
      </c>
      <c r="C5" s="31"/>
      <c r="D5" s="11"/>
      <c r="E5" s="11"/>
      <c r="F5" s="11"/>
    </row>
    <row r="6" spans="2:6" outlineLevel="1">
      <c r="B6" s="29"/>
      <c r="C6" s="29" t="s">
        <v>148</v>
      </c>
      <c r="D6">
        <v>291</v>
      </c>
      <c r="E6" s="35">
        <v>300</v>
      </c>
      <c r="F6" s="35">
        <v>250</v>
      </c>
    </row>
    <row r="7" spans="2:6" outlineLevel="1">
      <c r="B7" s="29"/>
      <c r="C7" s="29" t="s">
        <v>149</v>
      </c>
      <c r="D7">
        <v>580</v>
      </c>
      <c r="E7" s="35">
        <v>600</v>
      </c>
      <c r="F7" s="35">
        <v>550</v>
      </c>
    </row>
    <row r="8" spans="2:6">
      <c r="B8" s="30" t="s">
        <v>156</v>
      </c>
      <c r="C8" s="31"/>
      <c r="D8" s="11"/>
      <c r="E8" s="11"/>
      <c r="F8" s="11"/>
    </row>
    <row r="9" spans="2:6" ht="17.25" outlineLevel="1" thickBot="1">
      <c r="B9" s="32"/>
      <c r="C9" s="32" t="s">
        <v>150</v>
      </c>
      <c r="D9" s="25">
        <v>1420043</v>
      </c>
      <c r="E9" s="25">
        <v>1467900</v>
      </c>
      <c r="F9" s="25">
        <v>1318750</v>
      </c>
    </row>
    <row r="10" spans="2:6">
      <c r="B10" t="s">
        <v>157</v>
      </c>
    </row>
    <row r="11" spans="2:6">
      <c r="B11" t="s">
        <v>158</v>
      </c>
    </row>
    <row r="12" spans="2:6">
      <c r="B12" t="s">
        <v>159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/>
  <dimension ref="A2:E16"/>
  <sheetViews>
    <sheetView workbookViewId="0"/>
  </sheetViews>
  <sheetFormatPr defaultRowHeight="16.5"/>
  <cols>
    <col min="1" max="1" width="9.875" bestFit="1" customWidth="1"/>
    <col min="5" max="5" width="12.75" customWidth="1"/>
    <col min="6" max="6" width="2.5" customWidth="1"/>
  </cols>
  <sheetData>
    <row r="2" spans="1:5">
      <c r="A2" t="s">
        <v>86</v>
      </c>
    </row>
    <row r="3" spans="1:5">
      <c r="A3" s="5" t="s">
        <v>78</v>
      </c>
      <c r="B3" s="5" t="s">
        <v>79</v>
      </c>
      <c r="C3" s="5" t="s">
        <v>80</v>
      </c>
      <c r="D3" s="5" t="s">
        <v>81</v>
      </c>
      <c r="E3" s="5" t="s">
        <v>82</v>
      </c>
    </row>
    <row r="4" spans="1:5">
      <c r="A4" s="16">
        <v>45066</v>
      </c>
      <c r="B4" s="5" t="s">
        <v>83</v>
      </c>
      <c r="C4" s="7">
        <v>226</v>
      </c>
      <c r="D4" s="7">
        <v>5</v>
      </c>
      <c r="E4" s="8">
        <f t="shared" ref="E4:E11" si="0">(C4-D4)*VLOOKUP(B4,$A$15:$B$16,2,FALSE)</f>
        <v>64311</v>
      </c>
    </row>
    <row r="5" spans="1:5">
      <c r="A5" s="16">
        <v>45075</v>
      </c>
      <c r="B5" s="5" t="s">
        <v>84</v>
      </c>
      <c r="C5" s="7">
        <v>278</v>
      </c>
      <c r="D5" s="7">
        <v>4</v>
      </c>
      <c r="E5" s="8">
        <f t="shared" si="0"/>
        <v>158920</v>
      </c>
    </row>
    <row r="6" spans="1:5">
      <c r="A6" s="16">
        <v>45084</v>
      </c>
      <c r="B6" s="5" t="s">
        <v>84</v>
      </c>
      <c r="C6" s="7">
        <v>349</v>
      </c>
      <c r="D6" s="7">
        <v>1</v>
      </c>
      <c r="E6" s="8">
        <f t="shared" si="0"/>
        <v>201840</v>
      </c>
    </row>
    <row r="7" spans="1:5">
      <c r="A7" s="16">
        <v>45088</v>
      </c>
      <c r="B7" s="5" t="s">
        <v>83</v>
      </c>
      <c r="C7" s="7">
        <v>321</v>
      </c>
      <c r="D7" s="7">
        <v>7</v>
      </c>
      <c r="E7" s="8">
        <f t="shared" si="0"/>
        <v>91374</v>
      </c>
    </row>
    <row r="8" spans="1:5">
      <c r="A8" s="16">
        <v>45088</v>
      </c>
      <c r="B8" s="5" t="s">
        <v>83</v>
      </c>
      <c r="C8" s="7">
        <v>546</v>
      </c>
      <c r="D8" s="7">
        <v>8</v>
      </c>
      <c r="E8" s="8">
        <f t="shared" si="0"/>
        <v>156558</v>
      </c>
    </row>
    <row r="9" spans="1:5">
      <c r="A9" s="16">
        <v>45116</v>
      </c>
      <c r="B9" s="5" t="s">
        <v>84</v>
      </c>
      <c r="C9" s="7">
        <v>246</v>
      </c>
      <c r="D9" s="7">
        <v>2</v>
      </c>
      <c r="E9" s="8">
        <f t="shared" si="0"/>
        <v>141520</v>
      </c>
    </row>
    <row r="10" spans="1:5">
      <c r="A10" s="16">
        <v>45132</v>
      </c>
      <c r="B10" s="5" t="s">
        <v>84</v>
      </c>
      <c r="C10" s="7">
        <v>531</v>
      </c>
      <c r="D10" s="7">
        <v>5</v>
      </c>
      <c r="E10" s="8">
        <f t="shared" si="0"/>
        <v>305080</v>
      </c>
    </row>
    <row r="11" spans="1:5">
      <c r="A11" s="16">
        <v>45145</v>
      </c>
      <c r="B11" s="5" t="s">
        <v>84</v>
      </c>
      <c r="C11" s="7">
        <v>521</v>
      </c>
      <c r="D11" s="7">
        <v>3</v>
      </c>
      <c r="E11" s="8">
        <f t="shared" si="0"/>
        <v>300440</v>
      </c>
    </row>
    <row r="12" spans="1:5">
      <c r="A12" s="39" t="s">
        <v>27</v>
      </c>
      <c r="B12" s="40"/>
      <c r="C12" s="7">
        <f>SUM(C4:C11)</f>
        <v>3018</v>
      </c>
      <c r="D12" s="7">
        <f>SUM(D4:D11)</f>
        <v>35</v>
      </c>
      <c r="E12" s="8">
        <f>SUM(E4:E11)</f>
        <v>1420043</v>
      </c>
    </row>
    <row r="14" spans="1:5">
      <c r="A14" s="39" t="s">
        <v>85</v>
      </c>
      <c r="B14" s="40"/>
    </row>
    <row r="15" spans="1:5">
      <c r="A15" s="5" t="s">
        <v>83</v>
      </c>
      <c r="B15" s="5">
        <v>291</v>
      </c>
    </row>
    <row r="16" spans="1:5">
      <c r="A16" s="5" t="s">
        <v>84</v>
      </c>
      <c r="B16" s="5">
        <v>580</v>
      </c>
    </row>
  </sheetData>
  <scenarios current="0" sqref="E12">
    <scenario name="단가 증가" locked="1" count="2" user="okmiilk@naver.com">
      <inputCells r="B15" val="300"/>
      <inputCells r="B16" val="600"/>
    </scenario>
    <scenario name="단가 감소" locked="1" count="2" user="okmiilk@naver.com">
      <inputCells r="B15" val="250"/>
      <inputCells r="B16" val="550"/>
    </scenario>
  </scenarios>
  <mergeCells count="2">
    <mergeCell ref="A12:B12"/>
    <mergeCell ref="A14:B14"/>
  </mergeCells>
  <phoneticPr fontId="1" type="noConversion"/>
  <dataValidations count="1">
    <dataValidation type="list" allowBlank="1" showInputMessage="1" showErrorMessage="1" promptTitle="입력방법" prompt="목록에서 선택하세요." sqref="B4:B11" xr:uid="{F410D102-7BF1-440D-90B4-47F255C4040C}">
      <formula1>판매형태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A1:H11"/>
  <sheetViews>
    <sheetView zoomScaleNormal="100" workbookViewId="0">
      <selection sqref="A1:H1"/>
    </sheetView>
  </sheetViews>
  <sheetFormatPr defaultRowHeight="16.5"/>
  <cols>
    <col min="4" max="4" width="11.625" bestFit="1" customWidth="1"/>
  </cols>
  <sheetData>
    <row r="1" spans="1:8" ht="20.25">
      <c r="A1" s="41" t="s">
        <v>87</v>
      </c>
      <c r="B1" s="41"/>
      <c r="C1" s="41"/>
      <c r="D1" s="41"/>
      <c r="E1" s="41"/>
      <c r="F1" s="41"/>
      <c r="G1" s="41"/>
      <c r="H1" s="41"/>
    </row>
    <row r="2" spans="1:8">
      <c r="A2" t="s">
        <v>131</v>
      </c>
      <c r="H2" s="14" t="s">
        <v>88</v>
      </c>
    </row>
    <row r="3" spans="1:8">
      <c r="A3" s="5" t="s">
        <v>4</v>
      </c>
      <c r="B3" s="5" t="s">
        <v>89</v>
      </c>
      <c r="C3" s="5" t="s">
        <v>49</v>
      </c>
      <c r="D3" s="5" t="s">
        <v>90</v>
      </c>
      <c r="E3" s="5" t="s">
        <v>91</v>
      </c>
      <c r="F3" s="5" t="s">
        <v>92</v>
      </c>
      <c r="G3" s="5" t="s">
        <v>93</v>
      </c>
      <c r="H3" s="5" t="s">
        <v>94</v>
      </c>
    </row>
    <row r="4" spans="1:8">
      <c r="A4" s="5" t="s">
        <v>95</v>
      </c>
      <c r="B4" s="5" t="s">
        <v>96</v>
      </c>
      <c r="C4" s="8">
        <v>500</v>
      </c>
      <c r="D4" s="8">
        <v>2000</v>
      </c>
      <c r="E4" s="8">
        <v>1500</v>
      </c>
      <c r="F4" s="8">
        <v>80</v>
      </c>
      <c r="G4" s="8">
        <v>100</v>
      </c>
      <c r="H4" s="8">
        <f t="shared" ref="H4:H11" si="0">E4+G4</f>
        <v>1600</v>
      </c>
    </row>
    <row r="5" spans="1:8">
      <c r="A5" s="5" t="s">
        <v>97</v>
      </c>
      <c r="B5" s="5" t="s">
        <v>96</v>
      </c>
      <c r="C5" s="8">
        <v>150</v>
      </c>
      <c r="D5" s="8">
        <v>4000</v>
      </c>
      <c r="E5" s="8">
        <v>3500</v>
      </c>
      <c r="F5" s="8">
        <v>200</v>
      </c>
      <c r="G5" s="8">
        <v>150</v>
      </c>
      <c r="H5" s="8">
        <f t="shared" si="0"/>
        <v>3650</v>
      </c>
    </row>
    <row r="6" spans="1:8">
      <c r="A6" s="5" t="s">
        <v>98</v>
      </c>
      <c r="B6" s="5" t="s">
        <v>99</v>
      </c>
      <c r="C6" s="8">
        <v>10</v>
      </c>
      <c r="D6" s="8">
        <v>5000</v>
      </c>
      <c r="E6" s="8">
        <v>5000</v>
      </c>
      <c r="F6" s="8">
        <v>550</v>
      </c>
      <c r="G6" s="8">
        <v>200</v>
      </c>
      <c r="H6" s="8">
        <f t="shared" si="0"/>
        <v>5200</v>
      </c>
    </row>
    <row r="7" spans="1:8">
      <c r="A7" s="5" t="s">
        <v>10</v>
      </c>
      <c r="B7" s="5" t="s">
        <v>100</v>
      </c>
      <c r="C7" s="8">
        <v>200</v>
      </c>
      <c r="D7" s="8">
        <v>3500</v>
      </c>
      <c r="E7" s="8">
        <v>3000</v>
      </c>
      <c r="F7" s="8">
        <v>60</v>
      </c>
      <c r="G7" s="8">
        <v>50</v>
      </c>
      <c r="H7" s="8">
        <f t="shared" si="0"/>
        <v>3050</v>
      </c>
    </row>
    <row r="8" spans="1:8">
      <c r="A8" s="5" t="s">
        <v>13</v>
      </c>
      <c r="B8" s="5" t="s">
        <v>96</v>
      </c>
      <c r="C8" s="8">
        <v>150</v>
      </c>
      <c r="D8" s="8">
        <v>4000</v>
      </c>
      <c r="E8" s="8">
        <v>4500</v>
      </c>
      <c r="F8" s="8">
        <v>250</v>
      </c>
      <c r="G8" s="8">
        <v>80</v>
      </c>
      <c r="H8" s="8">
        <f t="shared" si="0"/>
        <v>4580</v>
      </c>
    </row>
    <row r="9" spans="1:8">
      <c r="A9" s="5" t="s">
        <v>101</v>
      </c>
      <c r="B9" s="5" t="s">
        <v>99</v>
      </c>
      <c r="C9" s="8">
        <v>30</v>
      </c>
      <c r="D9" s="8">
        <v>2000</v>
      </c>
      <c r="E9" s="8">
        <v>3000</v>
      </c>
      <c r="F9" s="8">
        <v>700</v>
      </c>
      <c r="G9" s="8">
        <v>70</v>
      </c>
      <c r="H9" s="8">
        <f t="shared" si="0"/>
        <v>3070</v>
      </c>
    </row>
    <row r="10" spans="1:8">
      <c r="A10" s="5" t="s">
        <v>12</v>
      </c>
      <c r="B10" s="5" t="s">
        <v>100</v>
      </c>
      <c r="C10" s="8">
        <v>10</v>
      </c>
      <c r="D10" s="8">
        <v>4500</v>
      </c>
      <c r="E10" s="8">
        <v>5000</v>
      </c>
      <c r="F10" s="8">
        <v>1200</v>
      </c>
      <c r="G10" s="8">
        <v>120</v>
      </c>
      <c r="H10" s="8">
        <f t="shared" si="0"/>
        <v>5120</v>
      </c>
    </row>
    <row r="11" spans="1:8">
      <c r="A11" s="5" t="s">
        <v>18</v>
      </c>
      <c r="B11" s="5" t="s">
        <v>100</v>
      </c>
      <c r="C11" s="8">
        <v>6</v>
      </c>
      <c r="D11" s="8">
        <v>5600</v>
      </c>
      <c r="E11" s="8">
        <v>6000</v>
      </c>
      <c r="F11" s="8">
        <v>1300</v>
      </c>
      <c r="G11" s="8">
        <v>250</v>
      </c>
      <c r="H11" s="8">
        <f t="shared" si="0"/>
        <v>6250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D11"/>
  <sheetViews>
    <sheetView workbookViewId="0"/>
  </sheetViews>
  <sheetFormatPr defaultRowHeight="16.5"/>
  <cols>
    <col min="1" max="1" width="11.75" customWidth="1"/>
  </cols>
  <sheetData>
    <row r="1" spans="1:4">
      <c r="A1" t="s">
        <v>86</v>
      </c>
    </row>
    <row r="2" spans="1:4">
      <c r="A2" s="17" t="s">
        <v>114</v>
      </c>
      <c r="B2" s="5" t="s">
        <v>102</v>
      </c>
      <c r="C2" s="5" t="s">
        <v>103</v>
      </c>
      <c r="D2" s="5" t="s">
        <v>104</v>
      </c>
    </row>
    <row r="3" spans="1:4">
      <c r="A3" s="38" t="s">
        <v>105</v>
      </c>
      <c r="B3" s="37">
        <v>1</v>
      </c>
      <c r="C3" s="37">
        <v>2</v>
      </c>
      <c r="D3" s="37">
        <v>1</v>
      </c>
    </row>
    <row r="4" spans="1:4">
      <c r="A4" s="38" t="s">
        <v>106</v>
      </c>
      <c r="B4" s="37">
        <v>0</v>
      </c>
      <c r="C4" s="37">
        <v>0</v>
      </c>
      <c r="D4" s="37">
        <v>0</v>
      </c>
    </row>
    <row r="5" spans="1:4">
      <c r="A5" s="38" t="s">
        <v>107</v>
      </c>
      <c r="B5" s="37">
        <v>0</v>
      </c>
      <c r="C5" s="37">
        <v>1</v>
      </c>
      <c r="D5" s="37">
        <v>0</v>
      </c>
    </row>
    <row r="6" spans="1:4">
      <c r="A6" s="38" t="s">
        <v>108</v>
      </c>
      <c r="B6" s="37">
        <v>0</v>
      </c>
      <c r="C6" s="37">
        <v>1</v>
      </c>
      <c r="D6" s="37">
        <v>0</v>
      </c>
    </row>
    <row r="7" spans="1:4">
      <c r="A7" s="38" t="s">
        <v>109</v>
      </c>
      <c r="B7" s="37">
        <v>1</v>
      </c>
      <c r="C7" s="37">
        <v>0</v>
      </c>
      <c r="D7" s="37">
        <v>0</v>
      </c>
    </row>
    <row r="8" spans="1:4">
      <c r="A8" s="38" t="s">
        <v>110</v>
      </c>
      <c r="B8" s="37">
        <v>0</v>
      </c>
      <c r="C8" s="37">
        <v>1</v>
      </c>
      <c r="D8" s="37">
        <v>1</v>
      </c>
    </row>
    <row r="9" spans="1:4">
      <c r="A9" s="38" t="s">
        <v>111</v>
      </c>
      <c r="B9" s="37">
        <v>0</v>
      </c>
      <c r="C9" s="37">
        <v>0</v>
      </c>
      <c r="D9" s="37">
        <v>1</v>
      </c>
    </row>
    <row r="10" spans="1:4">
      <c r="A10" s="38" t="s">
        <v>112</v>
      </c>
      <c r="B10" s="37">
        <v>1</v>
      </c>
      <c r="C10" s="37">
        <v>2</v>
      </c>
      <c r="D10" s="37">
        <v>2</v>
      </c>
    </row>
    <row r="11" spans="1:4">
      <c r="A11" s="38" t="s">
        <v>113</v>
      </c>
      <c r="B11" s="37">
        <v>1</v>
      </c>
      <c r="C11" s="37">
        <v>0</v>
      </c>
      <c r="D11" s="37">
        <v>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서식적용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존칭적용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I9"/>
  <sheetViews>
    <sheetView workbookViewId="0"/>
  </sheetViews>
  <sheetFormatPr defaultRowHeight="16.5"/>
  <sheetData>
    <row r="1" spans="1:9">
      <c r="A1" t="s">
        <v>115</v>
      </c>
    </row>
    <row r="3" spans="1:9">
      <c r="A3" s="18" t="s">
        <v>116</v>
      </c>
      <c r="B3" s="18" t="s">
        <v>117</v>
      </c>
      <c r="C3" s="18" t="s">
        <v>118</v>
      </c>
      <c r="D3" s="18" t="s">
        <v>119</v>
      </c>
      <c r="E3" s="18" t="s">
        <v>120</v>
      </c>
      <c r="H3" t="s">
        <v>118</v>
      </c>
      <c r="I3" t="s">
        <v>6</v>
      </c>
    </row>
    <row r="4" spans="1:9">
      <c r="A4">
        <v>1</v>
      </c>
      <c r="B4" t="s">
        <v>121</v>
      </c>
      <c r="C4" t="s">
        <v>122</v>
      </c>
      <c r="D4">
        <v>20</v>
      </c>
      <c r="E4" s="19">
        <v>4000</v>
      </c>
      <c r="H4" t="s">
        <v>122</v>
      </c>
      <c r="I4">
        <v>200</v>
      </c>
    </row>
    <row r="5" spans="1:9">
      <c r="A5">
        <v>2</v>
      </c>
      <c r="B5" t="s">
        <v>123</v>
      </c>
      <c r="C5" t="s">
        <v>124</v>
      </c>
      <c r="D5">
        <v>45</v>
      </c>
      <c r="E5" s="19">
        <v>24750</v>
      </c>
      <c r="H5" t="s">
        <v>124</v>
      </c>
      <c r="I5">
        <v>550</v>
      </c>
    </row>
    <row r="6" spans="1:9">
      <c r="A6">
        <v>3</v>
      </c>
      <c r="B6" t="s">
        <v>123</v>
      </c>
      <c r="C6" t="s">
        <v>126</v>
      </c>
      <c r="D6">
        <v>34</v>
      </c>
      <c r="E6" s="19">
        <v>10200</v>
      </c>
      <c r="H6" t="s">
        <v>125</v>
      </c>
      <c r="I6">
        <v>350</v>
      </c>
    </row>
    <row r="7" spans="1:9">
      <c r="H7" t="s">
        <v>126</v>
      </c>
      <c r="I7">
        <v>300</v>
      </c>
    </row>
    <row r="8" spans="1:9">
      <c r="H8" t="s">
        <v>127</v>
      </c>
      <c r="I8">
        <v>200</v>
      </c>
    </row>
    <row r="9" spans="1:9">
      <c r="H9" t="s">
        <v>128</v>
      </c>
      <c r="I9">
        <v>250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요금계산">
          <controlPr defaultSize="0" autoLine="0" r:id="rId4">
            <anchor moveWithCells="1">
              <from>
                <xdr:col>5</xdr:col>
                <xdr:colOff>38100</xdr:colOff>
                <xdr:row>0</xdr:row>
                <xdr:rowOff>123825</xdr:rowOff>
              </from>
              <to>
                <xdr:col>6</xdr:col>
                <xdr:colOff>523875</xdr:colOff>
                <xdr:row>2</xdr:row>
                <xdr:rowOff>28575</xdr:rowOff>
              </to>
            </anchor>
          </controlPr>
        </control>
      </mc:Choice>
      <mc:Fallback>
        <control shapeId="8193" r:id="rId3" name="cmd요금계산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4</vt:i4>
      </vt:variant>
    </vt:vector>
  </HeadingPairs>
  <TitlesOfParts>
    <vt:vector size="14" baseType="lpstr">
      <vt:lpstr>기본작업-1</vt:lpstr>
      <vt:lpstr>기본작업-2</vt:lpstr>
      <vt:lpstr>계산작업</vt:lpstr>
      <vt:lpstr>유통부대리</vt:lpstr>
      <vt:lpstr>분석작업-1</vt:lpstr>
      <vt:lpstr>시나리오 요약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'기본작업-2'!Print_Titles</vt:lpstr>
      <vt:lpstr>판매형태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2023-07-07T01:11:36Z</cp:lastPrinted>
  <dcterms:created xsi:type="dcterms:W3CDTF">2023-05-11T11:47:16Z</dcterms:created>
  <dcterms:modified xsi:type="dcterms:W3CDTF">2023-10-16T09:04:28Z</dcterms:modified>
</cp:coreProperties>
</file>