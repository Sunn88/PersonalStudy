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75FA4CD2-7515-4375-AC5F-24DF5F53F6F3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기본작업!$B$2:$H$13</definedName>
    <definedName name="_xlnm._FilterDatabase" localSheetId="3" hidden="1">'분석작업-2'!$A$2:$E$9</definedName>
    <definedName name="_xlnm.Criteria" localSheetId="0">기본작업!$B$15:$B$16</definedName>
    <definedName name="_xlnm.Extract" localSheetId="0">기본작업!$B$18:$H$18</definedName>
    <definedName name="_xlnm.Print_Area" localSheetId="0">기본작업!$B$1:$H$22</definedName>
  </definedNames>
  <calcPr calcId="191029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1" i="2" l="1" a="1"/>
  <c r="M21" i="2" s="1"/>
  <c r="N21" i="2" a="1"/>
  <c r="N21" i="2" s="1"/>
  <c r="L21" i="2" a="1"/>
  <c r="L21" i="2" s="1"/>
  <c r="B16" i="1" l="1"/>
  <c r="H6" i="2" a="1"/>
  <c r="H17" i="2" a="1"/>
  <c r="H11" i="2" a="1"/>
  <c r="H21" i="2" a="1"/>
  <c r="H12" i="2" a="1"/>
  <c r="H3" i="2" a="1"/>
  <c r="H13" i="2" a="1"/>
  <c r="H20" i="2" a="1"/>
  <c r="H22" i="2" a="1"/>
  <c r="H16" i="2" a="1"/>
  <c r="H10" i="2" a="1"/>
  <c r="H23" i="2" a="1"/>
  <c r="H5" i="2" a="1"/>
  <c r="H7" i="2" a="1"/>
  <c r="H9" i="2" a="1"/>
  <c r="H18" i="2" a="1"/>
  <c r="H4" i="2" a="1"/>
  <c r="H15" i="2" a="1"/>
  <c r="H14" i="2" a="1"/>
  <c r="H8" i="2" a="1"/>
  <c r="H19" i="2" a="1"/>
  <c r="H23" i="2" l="1"/>
  <c r="H19" i="2"/>
  <c r="H17" i="2"/>
  <c r="H15" i="2"/>
  <c r="H13" i="2"/>
  <c r="H11" i="2"/>
  <c r="H7" i="2"/>
  <c r="H5" i="2"/>
  <c r="H21" i="2"/>
  <c r="H9" i="2"/>
  <c r="H22" i="2"/>
  <c r="H20" i="2"/>
  <c r="H18" i="2"/>
  <c r="H16" i="2"/>
  <c r="H14" i="2"/>
  <c r="H12" i="2"/>
  <c r="H10" i="2"/>
  <c r="H8" i="2"/>
  <c r="H6" i="2"/>
  <c r="H4" i="2"/>
  <c r="H3" i="2"/>
  <c r="G23" i="2" l="1"/>
  <c r="G22" i="2"/>
  <c r="G21" i="2"/>
  <c r="G20" i="2"/>
  <c r="G19" i="2"/>
  <c r="G18" i="2"/>
  <c r="M17" i="2" a="1"/>
  <c r="M17" i="2" s="1"/>
  <c r="L17" i="2" a="1"/>
  <c r="L17" i="2" s="1"/>
  <c r="K17" i="2" a="1"/>
  <c r="K17" i="2" s="1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P11" i="2" s="1" a="1"/>
  <c r="P11" i="2" s="1"/>
  <c r="E3" i="4"/>
  <c r="E4" i="4"/>
  <c r="E5" i="4"/>
  <c r="E6" i="4"/>
  <c r="E7" i="4"/>
  <c r="E8" i="4"/>
  <c r="E9" i="4"/>
  <c r="O3" i="2" l="1" a="1"/>
  <c r="O3" i="2" s="1"/>
  <c r="O4" i="2" a="1"/>
  <c r="O4" i="2" s="1"/>
  <c r="O5" i="2" a="1"/>
  <c r="O5" i="2" s="1"/>
  <c r="O6" i="2" a="1"/>
  <c r="O6" i="2" s="1"/>
  <c r="O7" i="2" a="1"/>
  <c r="O7" i="2" s="1"/>
  <c r="O8" i="2" a="1"/>
  <c r="O8" i="2" s="1"/>
  <c r="O9" i="2" a="1"/>
  <c r="O9" i="2" s="1"/>
  <c r="O10" i="2" a="1"/>
  <c r="O10" i="2" s="1"/>
  <c r="O11" i="2" a="1"/>
  <c r="O11" i="2" s="1"/>
  <c r="N3" i="2" a="1"/>
  <c r="N3" i="2" s="1"/>
  <c r="P3" i="2" a="1"/>
  <c r="P3" i="2" s="1"/>
  <c r="N4" i="2" a="1"/>
  <c r="N4" i="2" s="1"/>
  <c r="P4" i="2" a="1"/>
  <c r="P4" i="2" s="1"/>
  <c r="N5" i="2" a="1"/>
  <c r="N5" i="2" s="1"/>
  <c r="P5" i="2" a="1"/>
  <c r="P5" i="2" s="1"/>
  <c r="N6" i="2" a="1"/>
  <c r="N6" i="2" s="1"/>
  <c r="P6" i="2" a="1"/>
  <c r="P6" i="2" s="1"/>
  <c r="N7" i="2" a="1"/>
  <c r="N7" i="2" s="1"/>
  <c r="P7" i="2" a="1"/>
  <c r="P7" i="2" s="1"/>
  <c r="N8" i="2" a="1"/>
  <c r="N8" i="2" s="1"/>
  <c r="P8" i="2" a="1"/>
  <c r="P8" i="2" s="1"/>
  <c r="N9" i="2" a="1"/>
  <c r="N9" i="2" s="1"/>
  <c r="P9" i="2" a="1"/>
  <c r="P9" i="2" s="1"/>
  <c r="N10" i="2" a="1"/>
  <c r="N10" i="2" s="1"/>
  <c r="P10" i="2" a="1"/>
  <c r="P10" i="2" s="1"/>
  <c r="N11" i="2" a="1"/>
  <c r="N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32D5C2-1B0B-4CEB-9C87-536BB265D4A3}" name="MS Access Database_Query" type="1" refreshedVersion="8" background="1">
    <dbPr connection="DSN=MS Access Database;DBQ=C:\길벗컴활1급\01 엑셀\04 실전모의고사\수산물가격표.accdb;DefaultDir=C:\길벗컴활1급\01 엑셀\04 실전모의고사;DriverId=25;FIL=MS Access;MaxBufferSize=2048;PageTimeout=5;" command="SELECT 수산물가격표.품목, 수산물가격표.산지, 수산물가격표.상품, 수산물가격표.중품, 수산물가격표.하품_x000d__x000a_FROM `C:\길벗컴활1급\01 엑셀\04 실전모의고사\수산물가격표.accdb`.수산물가격표 수산물가격표"/>
  </connection>
  <connection id="2" xr16:uid="{F95AE73C-58AE-4F61-BF18-5A64D393F29C}" sourceFile="C:\길벗컴활1급\01 엑셀\04 실전모의고사\수산물가격표.accdb" keepAlive="1" name="수산물가격표" type="5" refreshedVersion="7" background="1">
    <dbPr connection="Provider=Microsoft.ACE.OLEDB.12.0;User ID=Admin;Data Source=C:\길벗컴활1급\01 엑셀\04 실전모의고사\수산물가격표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수산물가격표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<sst xmlns="http://schemas.openxmlformats.org/spreadsheetml/2006/main" count="230" uniqueCount="167">
  <si>
    <t>고객 예금정보</t>
  </si>
  <si>
    <t>계좌번호</t>
  </si>
  <si>
    <t>고객명</t>
  </si>
  <si>
    <t>주민번호</t>
  </si>
  <si>
    <t>예금종류</t>
  </si>
  <si>
    <t>잔액</t>
  </si>
  <si>
    <t>개설일자</t>
  </si>
  <si>
    <t>개설지점</t>
  </si>
  <si>
    <t>615-21-2831</t>
  </si>
  <si>
    <t>길호성</t>
  </si>
  <si>
    <t>보통예금</t>
  </si>
  <si>
    <t>인천지점</t>
  </si>
  <si>
    <t>582-21-7255</t>
  </si>
  <si>
    <t>김건희</t>
  </si>
  <si>
    <t>강남지점</t>
  </si>
  <si>
    <t>582-21-4166</t>
  </si>
  <si>
    <t>국혜선</t>
  </si>
  <si>
    <t>417-21-9094</t>
  </si>
  <si>
    <t>우찬성</t>
  </si>
  <si>
    <t>수원지점</t>
  </si>
  <si>
    <t>417-21-2594</t>
  </si>
  <si>
    <t>이하균</t>
  </si>
  <si>
    <t>201-21-2734</t>
  </si>
  <si>
    <t>최창선</t>
  </si>
  <si>
    <t>과천지점</t>
  </si>
  <si>
    <t>201-21-1278</t>
  </si>
  <si>
    <t>송정민</t>
  </si>
  <si>
    <t>101-21-0245</t>
  </si>
  <si>
    <t>김성태</t>
  </si>
  <si>
    <t>송파지점</t>
  </si>
  <si>
    <t>582-27-0329</t>
  </si>
  <si>
    <t>장민준</t>
  </si>
  <si>
    <t>저축예금</t>
  </si>
  <si>
    <t>302-27-0023</t>
  </si>
  <si>
    <t>전은창</t>
  </si>
  <si>
    <t>대전지점</t>
  </si>
  <si>
    <t>101-27-7153</t>
  </si>
  <si>
    <t>민형태</t>
  </si>
  <si>
    <t>840503-117628</t>
    <phoneticPr fontId="1" type="noConversion"/>
  </si>
  <si>
    <t>851129-108141</t>
    <phoneticPr fontId="1" type="noConversion"/>
  </si>
  <si>
    <t>861008-254891</t>
    <phoneticPr fontId="1" type="noConversion"/>
  </si>
  <si>
    <t>531024-134781</t>
    <phoneticPr fontId="1" type="noConversion"/>
  </si>
  <si>
    <t>780409-108291</t>
    <phoneticPr fontId="1" type="noConversion"/>
  </si>
  <si>
    <t>771120-109457</t>
    <phoneticPr fontId="1" type="noConversion"/>
  </si>
  <si>
    <t>820505-216654</t>
    <phoneticPr fontId="1" type="noConversion"/>
  </si>
  <si>
    <t>681029-104844</t>
    <phoneticPr fontId="1" type="noConversion"/>
  </si>
  <si>
    <t>650425-105436</t>
    <phoneticPr fontId="1" type="noConversion"/>
  </si>
  <si>
    <t>860604-175243</t>
    <phoneticPr fontId="1" type="noConversion"/>
  </si>
  <si>
    <t>720917-128792</t>
    <phoneticPr fontId="1" type="noConversion"/>
  </si>
  <si>
    <t>[표1]</t>
  </si>
  <si>
    <t>[표2]</t>
  </si>
  <si>
    <t>성적 분포도</t>
  </si>
  <si>
    <t>성명</t>
  </si>
  <si>
    <t>국어</t>
  </si>
  <si>
    <t>영어</t>
  </si>
  <si>
    <t>수학</t>
  </si>
  <si>
    <t>결석</t>
  </si>
  <si>
    <t>평균</t>
  </si>
  <si>
    <t>평점</t>
  </si>
  <si>
    <t>판정</t>
  </si>
  <si>
    <t>반편성</t>
  </si>
  <si>
    <t>점수 대별</t>
  </si>
  <si>
    <t>강애연</t>
  </si>
  <si>
    <t>F</t>
  </si>
  <si>
    <t>강충기</t>
  </si>
  <si>
    <t>D</t>
  </si>
  <si>
    <t>김규한</t>
  </si>
  <si>
    <t>D+</t>
  </si>
  <si>
    <t>김동구</t>
  </si>
  <si>
    <t>C</t>
  </si>
  <si>
    <t>김병철</t>
  </si>
  <si>
    <t>C+</t>
  </si>
  <si>
    <t>김영석</t>
  </si>
  <si>
    <t>B</t>
  </si>
  <si>
    <t>김용철</t>
  </si>
  <si>
    <t>B+</t>
  </si>
  <si>
    <t>김인철</t>
  </si>
  <si>
    <t>A</t>
  </si>
  <si>
    <t>김재웅</t>
  </si>
  <si>
    <t>A+</t>
  </si>
  <si>
    <t>김종진</t>
  </si>
  <si>
    <t>김호진</t>
  </si>
  <si>
    <t>박득우</t>
  </si>
  <si>
    <t>박중태</t>
  </si>
  <si>
    <t>[표3]</t>
  </si>
  <si>
    <t>반별 평균</t>
  </si>
  <si>
    <t>박한식</t>
  </si>
  <si>
    <t>신점기</t>
  </si>
  <si>
    <t>신종갑</t>
  </si>
  <si>
    <t>오문규</t>
  </si>
  <si>
    <t>[표4]</t>
  </si>
  <si>
    <t>오진영</t>
  </si>
  <si>
    <t>이유석</t>
  </si>
  <si>
    <t>이홍기</t>
  </si>
  <si>
    <t>정창욱</t>
  </si>
  <si>
    <t>길분 콘도 이용 현황</t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</si>
  <si>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</si>
  <si>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</si>
  <si>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</si>
  <si>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</si>
  <si>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</si>
  <si>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</si>
  <si>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</si>
  <si>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</si>
  <si>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</si>
  <si>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</si>
  <si>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</si>
  <si>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자원별 목재수급 현황</t>
  </si>
  <si>
    <t>연도</t>
  </si>
  <si>
    <t>내재</t>
  </si>
  <si>
    <t>외재</t>
  </si>
  <si>
    <t>합계</t>
  </si>
  <si>
    <t>폐재</t>
  </si>
  <si>
    <t>자급율(%)</t>
  </si>
  <si>
    <t>단위: 1,000㎥</t>
    <phoneticPr fontId="1" type="noConversion"/>
  </si>
  <si>
    <t>2019년</t>
    <phoneticPr fontId="1" type="noConversion"/>
  </si>
  <si>
    <t>2020년</t>
    <phoneticPr fontId="1" type="noConversion"/>
  </si>
  <si>
    <t>[표1]</t>
    <phoneticPr fontId="1" type="noConversion"/>
  </si>
  <si>
    <t>팀명</t>
    <phoneticPr fontId="1" type="noConversion"/>
  </si>
  <si>
    <t>창의성</t>
    <phoneticPr fontId="1" type="noConversion"/>
  </si>
  <si>
    <t>실용성</t>
    <phoneticPr fontId="1" type="noConversion"/>
  </si>
  <si>
    <t>경제성</t>
    <phoneticPr fontId="1" type="noConversion"/>
  </si>
  <si>
    <t>총점</t>
    <phoneticPr fontId="1" type="noConversion"/>
  </si>
  <si>
    <t>GoodIdea</t>
    <phoneticPr fontId="1" type="noConversion"/>
  </si>
  <si>
    <t>창조굿</t>
    <phoneticPr fontId="1" type="noConversion"/>
  </si>
  <si>
    <t>IDEAofKING</t>
    <phoneticPr fontId="1" type="noConversion"/>
  </si>
  <si>
    <t>발명왕</t>
    <phoneticPr fontId="1" type="noConversion"/>
  </si>
  <si>
    <t>GID</t>
    <phoneticPr fontId="1" type="noConversion"/>
  </si>
  <si>
    <t>IDEAdesign</t>
    <phoneticPr fontId="1" type="noConversion"/>
  </si>
  <si>
    <t>발명유명</t>
    <phoneticPr fontId="1" type="noConversion"/>
  </si>
  <si>
    <t>파워Idea</t>
    <phoneticPr fontId="1" type="noConversion"/>
  </si>
  <si>
    <t>사고친창의</t>
    <phoneticPr fontId="1" type="noConversion"/>
  </si>
  <si>
    <t>상상나라</t>
    <phoneticPr fontId="1" type="noConversion"/>
  </si>
  <si>
    <t>SMS</t>
    <phoneticPr fontId="1" type="noConversion"/>
  </si>
  <si>
    <t>발명에디슨</t>
    <phoneticPr fontId="1" type="noConversion"/>
  </si>
  <si>
    <t>창의적발명</t>
    <phoneticPr fontId="1" type="noConversion"/>
  </si>
  <si>
    <t xml:space="preserve"> </t>
  </si>
  <si>
    <t>사원번호</t>
  </si>
  <si>
    <t>부서명</t>
  </si>
  <si>
    <t>홍보</t>
  </si>
  <si>
    <t>계약직</t>
  </si>
  <si>
    <t>전산</t>
  </si>
  <si>
    <t>영업</t>
  </si>
  <si>
    <t>총무</t>
  </si>
  <si>
    <t>자재</t>
  </si>
  <si>
    <t>판매수량</t>
    <phoneticPr fontId="1" type="noConversion"/>
  </si>
  <si>
    <t>판매단가</t>
    <phoneticPr fontId="1" type="noConversion"/>
  </si>
  <si>
    <t xml:space="preserve"> 판매금액</t>
    <phoneticPr fontId="1" type="noConversion"/>
  </si>
  <si>
    <t>계약직여부</t>
    <phoneticPr fontId="1" type="noConversion"/>
  </si>
  <si>
    <t>반별 최대 평균 학생</t>
    <phoneticPr fontId="1" type="noConversion"/>
  </si>
  <si>
    <t>이름</t>
    <phoneticPr fontId="1" type="noConversion"/>
  </si>
  <si>
    <t>2023년</t>
    <phoneticPr fontId="1" type="noConversion"/>
  </si>
  <si>
    <t>2022년</t>
    <phoneticPr fontId="1" type="noConversion"/>
  </si>
  <si>
    <t>2021년</t>
    <phoneticPr fontId="1" type="noConversion"/>
  </si>
  <si>
    <t>조건</t>
    <phoneticPr fontId="1" type="noConversion"/>
  </si>
  <si>
    <t>농어</t>
  </si>
  <si>
    <t>도미</t>
  </si>
  <si>
    <t>붕장어</t>
  </si>
  <si>
    <t>우럭</t>
  </si>
  <si>
    <t>남해</t>
  </si>
  <si>
    <t>합계 : 상품</t>
  </si>
  <si>
    <t>합계 : 중품</t>
  </si>
  <si>
    <t>합계 : 하품</t>
  </si>
  <si>
    <t>품목</t>
  </si>
  <si>
    <t>산지</t>
  </si>
  <si>
    <t>값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</si>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</sst>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[Red][&gt;=80]#&quot;점&quot;;#&quot;점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 applyAlignment="1">
      <alignment horizontal="center" vertical="center"/>
    </xf>
    <xf numFmtId="41" fontId="5" fillId="3" borderId="1" xfId="1" applyFont="1" applyFill="1" applyBorder="1" applyAlignment="1">
      <alignment horizontal="center" vertical="center"/>
    </xf>
    <xf numFmtId="41" fontId="6" fillId="3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37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42" fontId="0" fillId="0" borderId="0" xfId="0" applyNumberFormat="1">
      <alignment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color rgb="FFFF0000"/>
      </font>
      <fill>
        <patternFill>
          <fgColor indexed="64"/>
          <bgColor rgb="FFFFC000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년도별 자급율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'기타작업-1'!$F$3</c:f>
              <c:strCache>
                <c:ptCount val="1"/>
                <c:pt idx="0">
                  <c:v>자급율(%)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'기타작업-1'!$F$4:$F$8</c:f>
              <c:numCache>
                <c:formatCode>General</c:formatCode>
                <c:ptCount val="5"/>
                <c:pt idx="0">
                  <c:v>12.82</c:v>
                </c:pt>
                <c:pt idx="1">
                  <c:v>14.88</c:v>
                </c:pt>
                <c:pt idx="2">
                  <c:v>12.84</c:v>
                </c:pt>
                <c:pt idx="3">
                  <c:v>32.67</c:v>
                </c:pt>
                <c:pt idx="4">
                  <c:v>34.369999999999997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C-43AC-BE75-F4CA9689F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0193871"/>
        <c:axId val="1310196271"/>
      </c:lineChart>
      <c:catAx>
        <c:axId val="131019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196271"/>
        <c:crosses val="autoZero"/>
        <c:auto val="1"/>
        <c:lblAlgn val="ctr"/>
        <c:lblOffset val="100"/>
        <c:noMultiLvlLbl val="0"/>
      </c:catAx>
      <c:valAx>
        <c:axId val="131019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%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19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016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높은점수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38100</xdr:rowOff>
        </xdr:from>
        <xdr:to>
          <xdr:col>3</xdr:col>
          <xdr:colOff>838200</xdr:colOff>
          <xdr:row>1</xdr:row>
          <xdr:rowOff>123825</xdr:rowOff>
        </xdr:to>
        <xdr:sp macro="" textlink="">
          <xdr:nvSpPr>
            <xdr:cNvPr id="2049" name="cmd판매현황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801184143522" backgroundQuery="1" createdVersion="7" refreshedVersion="7" minRefreshableVersion="3" recordCount="9" xr:uid="{A580B735-030D-47CF-9BE3-C6EE2ADB6D69}">
  <cacheSource type="external" connectionId="2"/>
  <cacheFields count="6">
    <cacheField name="품목" numFmtId="0">
      <sharedItems count="9">
        <s v="광어"/>
        <s v="농어"/>
        <s v="대구"/>
        <s v="도미"/>
        <s v="방어"/>
        <s v="붕장어"/>
        <s v="오징어"/>
        <s v="우럭"/>
        <s v="전복"/>
      </sharedItems>
    </cacheField>
    <cacheField name="산지" numFmtId="0">
      <sharedItems count="3">
        <s v="서해"/>
        <s v="남해"/>
        <s v="동해"/>
      </sharedItems>
    </cacheField>
    <cacheField name="단위" numFmtId="0">
      <sharedItems count="3">
        <s v="자연1Kg"/>
        <s v="양식1Kg"/>
        <s v="자연8Kg"/>
      </sharedItems>
    </cacheField>
    <cacheField name="상품" numFmtId="0">
      <sharedItems containsString="0" containsBlank="1" containsNumber="1" containsInteger="1" minValue="8000" maxValue="130000" count="9">
        <n v="41000"/>
        <n v="10000"/>
        <n v="17000"/>
        <n v="8000"/>
        <n v="25000"/>
        <n v="16000"/>
        <n v="19000"/>
        <m/>
        <n v="130000"/>
      </sharedItems>
    </cacheField>
    <cacheField name="중품" numFmtId="0">
      <sharedItems containsString="0" containsBlank="1" containsNumber="1" containsInteger="1" minValue="5000" maxValue="24000" count="6">
        <n v="24000"/>
        <n v="7000"/>
        <n v="11000"/>
        <m/>
        <n v="15000"/>
        <n v="5000"/>
      </sharedItems>
    </cacheField>
    <cacheField name="하품" numFmtId="0">
      <sharedItems containsString="0" containsBlank="1" containsNumber="1" containsInteger="1" minValue="5000" maxValue="14000" count="5">
        <n v="6000"/>
        <n v="5000"/>
        <n v="14000"/>
        <n v="80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</r>
  <r>
    <x v="1"/>
    <x v="1"/>
    <x v="0"/>
    <x v="1"/>
    <x v="1"/>
    <x v="1"/>
  </r>
  <r>
    <x v="2"/>
    <x v="2"/>
    <x v="0"/>
    <x v="2"/>
    <x v="2"/>
    <x v="0"/>
  </r>
  <r>
    <x v="3"/>
    <x v="1"/>
    <x v="1"/>
    <x v="3"/>
    <x v="3"/>
    <x v="1"/>
  </r>
  <r>
    <x v="4"/>
    <x v="2"/>
    <x v="0"/>
    <x v="4"/>
    <x v="4"/>
    <x v="1"/>
  </r>
  <r>
    <x v="5"/>
    <x v="1"/>
    <x v="0"/>
    <x v="5"/>
    <x v="3"/>
    <x v="2"/>
  </r>
  <r>
    <x v="6"/>
    <x v="2"/>
    <x v="2"/>
    <x v="6"/>
    <x v="4"/>
    <x v="3"/>
  </r>
  <r>
    <x v="7"/>
    <x v="1"/>
    <x v="1"/>
    <x v="7"/>
    <x v="5"/>
    <x v="4"/>
  </r>
  <r>
    <x v="8"/>
    <x v="0"/>
    <x v="0"/>
    <x v="8"/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D190F6-2C3B-40A6-9C13-4FE35E48BCA4}" name="피벗 테이블1" cacheId="2" dataOnRows="1" applyNumberFormats="0" applyBorderFormats="0" applyFontFormats="0" applyPatternFormats="0" applyAlignmentFormats="0" applyWidthHeightFormats="1" dataCaption="값" missingCaption="***" updatedVersion="7" minRefreshableVersion="3" useAutoFormatting="1" rowGrandTotals="0" colGrandTotals="0" itemPrintTitles="1" createdVersion="7" indent="0" compact="0" compactData="0" multipleFieldFilters="0" fieldListSortAscending="1">
  <location ref="A2:D14" firstHeaderRow="1" firstDataRow="1" firstDataCol="3"/>
  <pivotFields count="6"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3">
        <item x="1"/>
        <item h="1" x="2"/>
        <item h="1" x="0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0"/>
    <field x="1"/>
    <field x="-2"/>
  </rowFields>
  <rowItems count="12">
    <i>
      <x v="1"/>
      <x/>
      <x/>
    </i>
    <i r="2" i="1">
      <x v="1"/>
    </i>
    <i r="2" i="2">
      <x v="2"/>
    </i>
    <i>
      <x v="3"/>
      <x/>
      <x/>
    </i>
    <i r="2" i="1">
      <x v="1"/>
    </i>
    <i r="2" i="2">
      <x v="2"/>
    </i>
    <i>
      <x v="5"/>
      <x/>
      <x/>
    </i>
    <i r="2" i="1">
      <x v="1"/>
    </i>
    <i r="2" i="2">
      <x v="2"/>
    </i>
    <i>
      <x v="7"/>
      <x/>
      <x/>
    </i>
    <i r="2" i="1">
      <x v="1"/>
    </i>
    <i r="2" i="2">
      <x v="2"/>
    </i>
  </rowItems>
  <colItems count="1">
    <i/>
  </colItems>
  <dataFields count="3">
    <dataField name="합계 : 상품" fld="3" baseField="1" baseItem="0" numFmtId="42"/>
    <dataField name="합계 : 중품" fld="4" baseField="1" baseItem="0" numFmtId="42"/>
    <dataField name="합계 : 하품" fld="5" baseField="1" baseItem="0" numFmtId="4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1:H22"/>
  <sheetViews>
    <sheetView tabSelected="1" workbookViewId="0"/>
  </sheetViews>
  <sheetFormatPr defaultRowHeight="16.5"/>
  <cols>
    <col min="1" max="1" width="2.625" customWidth="1"/>
    <col min="2" max="2" width="12.25" bestFit="1" customWidth="1"/>
    <col min="3" max="3" width="7.375" bestFit="1" customWidth="1"/>
    <col min="4" max="4" width="14.75" bestFit="1" customWidth="1"/>
    <col min="5" max="5" width="9.25" bestFit="1" customWidth="1"/>
    <col min="6" max="6" width="12.625" customWidth="1"/>
    <col min="7" max="7" width="12" customWidth="1"/>
    <col min="8" max="8" width="9.25" bestFit="1" customWidth="1"/>
  </cols>
  <sheetData>
    <row r="1" spans="2:8">
      <c r="B1" s="18" t="s">
        <v>0</v>
      </c>
      <c r="C1" s="18"/>
      <c r="D1" s="18"/>
      <c r="E1" s="18"/>
      <c r="F1" s="18"/>
      <c r="G1" s="18"/>
      <c r="H1" s="18"/>
    </row>
    <row r="2" spans="2:8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2:8">
      <c r="B3" t="s">
        <v>8</v>
      </c>
      <c r="C3" t="s">
        <v>9</v>
      </c>
      <c r="D3" t="s">
        <v>38</v>
      </c>
      <c r="E3" t="s">
        <v>10</v>
      </c>
      <c r="F3" s="3">
        <v>-6985423</v>
      </c>
      <c r="G3" s="4">
        <v>42441</v>
      </c>
      <c r="H3" t="s">
        <v>11</v>
      </c>
    </row>
    <row r="4" spans="2:8">
      <c r="B4" t="s">
        <v>12</v>
      </c>
      <c r="C4" t="s">
        <v>13</v>
      </c>
      <c r="D4" t="s">
        <v>39</v>
      </c>
      <c r="E4" t="s">
        <v>10</v>
      </c>
      <c r="F4" s="3">
        <v>9382</v>
      </c>
      <c r="G4" s="4">
        <v>42077</v>
      </c>
      <c r="H4" t="s">
        <v>14</v>
      </c>
    </row>
    <row r="5" spans="2:8">
      <c r="B5" t="s">
        <v>15</v>
      </c>
      <c r="C5" t="s">
        <v>16</v>
      </c>
      <c r="D5" t="s">
        <v>40</v>
      </c>
      <c r="E5" t="s">
        <v>10</v>
      </c>
      <c r="F5" s="3">
        <v>65214</v>
      </c>
      <c r="G5" s="4">
        <v>44856</v>
      </c>
      <c r="H5" t="s">
        <v>14</v>
      </c>
    </row>
    <row r="6" spans="2:8">
      <c r="B6" t="s">
        <v>17</v>
      </c>
      <c r="C6" t="s">
        <v>18</v>
      </c>
      <c r="D6" t="s">
        <v>41</v>
      </c>
      <c r="E6" t="s">
        <v>10</v>
      </c>
      <c r="F6" s="3">
        <v>-568215</v>
      </c>
      <c r="G6" s="4">
        <v>43075</v>
      </c>
      <c r="H6" t="s">
        <v>19</v>
      </c>
    </row>
    <row r="7" spans="2:8">
      <c r="B7" t="s">
        <v>20</v>
      </c>
      <c r="C7" t="s">
        <v>21</v>
      </c>
      <c r="D7" t="s">
        <v>42</v>
      </c>
      <c r="E7" t="s">
        <v>10</v>
      </c>
      <c r="F7" s="3">
        <v>25436</v>
      </c>
      <c r="G7" s="4">
        <v>44415</v>
      </c>
      <c r="H7" t="s">
        <v>19</v>
      </c>
    </row>
    <row r="8" spans="2:8">
      <c r="B8" t="s">
        <v>22</v>
      </c>
      <c r="C8" t="s">
        <v>23</v>
      </c>
      <c r="D8" t="s">
        <v>43</v>
      </c>
      <c r="E8" t="s">
        <v>10</v>
      </c>
      <c r="F8" s="3">
        <v>612493</v>
      </c>
      <c r="G8" s="4">
        <v>39622</v>
      </c>
      <c r="H8" t="s">
        <v>24</v>
      </c>
    </row>
    <row r="9" spans="2:8">
      <c r="B9" t="s">
        <v>25</v>
      </c>
      <c r="C9" t="s">
        <v>26</v>
      </c>
      <c r="D9" t="s">
        <v>44</v>
      </c>
      <c r="E9" t="s">
        <v>10</v>
      </c>
      <c r="F9" s="3">
        <v>32584617</v>
      </c>
      <c r="G9" s="4">
        <v>44170</v>
      </c>
      <c r="H9" t="s">
        <v>24</v>
      </c>
    </row>
    <row r="10" spans="2:8">
      <c r="B10" t="s">
        <v>27</v>
      </c>
      <c r="C10" t="s">
        <v>28</v>
      </c>
      <c r="D10" t="s">
        <v>45</v>
      </c>
      <c r="E10" t="s">
        <v>10</v>
      </c>
      <c r="F10" s="3">
        <v>12578406</v>
      </c>
      <c r="G10" s="4">
        <v>44839</v>
      </c>
      <c r="H10" t="s">
        <v>29</v>
      </c>
    </row>
    <row r="11" spans="2:8">
      <c r="B11" t="s">
        <v>30</v>
      </c>
      <c r="C11" t="s">
        <v>31</v>
      </c>
      <c r="D11" t="s">
        <v>46</v>
      </c>
      <c r="E11" t="s">
        <v>32</v>
      </c>
      <c r="F11" s="3">
        <v>-682456</v>
      </c>
      <c r="G11" s="4">
        <v>39746</v>
      </c>
      <c r="H11" t="s">
        <v>14</v>
      </c>
    </row>
    <row r="12" spans="2:8">
      <c r="B12" t="s">
        <v>33</v>
      </c>
      <c r="C12" t="s">
        <v>34</v>
      </c>
      <c r="D12" t="s">
        <v>47</v>
      </c>
      <c r="E12" t="s">
        <v>32</v>
      </c>
      <c r="F12" s="3">
        <v>-584261</v>
      </c>
      <c r="G12" s="4">
        <v>44858</v>
      </c>
      <c r="H12" t="s">
        <v>35</v>
      </c>
    </row>
    <row r="13" spans="2:8">
      <c r="B13" t="s">
        <v>36</v>
      </c>
      <c r="C13" t="s">
        <v>37</v>
      </c>
      <c r="D13" t="s">
        <v>48</v>
      </c>
      <c r="E13" t="s">
        <v>32</v>
      </c>
      <c r="F13" s="3">
        <v>-2648100</v>
      </c>
      <c r="G13" s="4">
        <v>45147</v>
      </c>
      <c r="H13" t="s">
        <v>29</v>
      </c>
    </row>
    <row r="15" spans="2:8">
      <c r="B15" t="s">
        <v>154</v>
      </c>
    </row>
    <row r="16" spans="2:8">
      <c r="B16" t="b">
        <f>AND(MID(D3,8,1)="1",MONTH(G3)&gt;=10)</f>
        <v>0</v>
      </c>
    </row>
    <row r="18" spans="2:8">
      <c r="B18" s="2" t="s">
        <v>1</v>
      </c>
      <c r="C18" s="2" t="s">
        <v>2</v>
      </c>
      <c r="D18" s="2" t="s">
        <v>3</v>
      </c>
      <c r="E18" s="2" t="s">
        <v>4</v>
      </c>
      <c r="F18" s="2" t="s">
        <v>5</v>
      </c>
      <c r="G18" s="2" t="s">
        <v>6</v>
      </c>
      <c r="H18" s="2" t="s">
        <v>7</v>
      </c>
    </row>
    <row r="19" spans="2:8">
      <c r="B19" t="s">
        <v>17</v>
      </c>
      <c r="C19" t="s">
        <v>18</v>
      </c>
      <c r="D19" t="s">
        <v>41</v>
      </c>
      <c r="E19" t="s">
        <v>10</v>
      </c>
      <c r="F19" s="3">
        <v>-568215</v>
      </c>
      <c r="G19" s="4">
        <v>43075</v>
      </c>
      <c r="H19" t="s">
        <v>19</v>
      </c>
    </row>
    <row r="20" spans="2:8">
      <c r="B20" t="s">
        <v>27</v>
      </c>
      <c r="C20" t="s">
        <v>28</v>
      </c>
      <c r="D20" t="s">
        <v>45</v>
      </c>
      <c r="E20" t="s">
        <v>10</v>
      </c>
      <c r="F20" s="3">
        <v>12578406</v>
      </c>
      <c r="G20" s="4">
        <v>44839</v>
      </c>
      <c r="H20" t="s">
        <v>29</v>
      </c>
    </row>
    <row r="21" spans="2:8">
      <c r="B21" t="s">
        <v>30</v>
      </c>
      <c r="C21" t="s">
        <v>31</v>
      </c>
      <c r="D21" t="s">
        <v>46</v>
      </c>
      <c r="E21" t="s">
        <v>32</v>
      </c>
      <c r="F21" s="3">
        <v>-682456</v>
      </c>
      <c r="G21" s="4">
        <v>39746</v>
      </c>
      <c r="H21" t="s">
        <v>14</v>
      </c>
    </row>
    <row r="22" spans="2:8">
      <c r="B22" t="s">
        <v>33</v>
      </c>
      <c r="C22" t="s">
        <v>34</v>
      </c>
      <c r="D22" t="s">
        <v>47</v>
      </c>
      <c r="E22" t="s">
        <v>32</v>
      </c>
      <c r="F22" s="3">
        <v>-584261</v>
      </c>
      <c r="G22" s="4">
        <v>44858</v>
      </c>
      <c r="H22" t="s">
        <v>35</v>
      </c>
    </row>
  </sheetData>
  <mergeCells count="1">
    <mergeCell ref="B1:H1"/>
  </mergeCells>
  <phoneticPr fontId="1" type="noConversion"/>
  <conditionalFormatting sqref="B3:H13">
    <cfRule type="expression" dxfId="1" priority="1">
      <formula>AND(LEFT($D3,1)="8",$G3&gt;=DATE(2020,1,1))</formula>
    </cfRule>
  </conditionalFormatting>
  <printOptions horizontalCentered="1" gridLine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&amp;C◆ &amp;P ◆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P23"/>
  <sheetViews>
    <sheetView workbookViewId="0"/>
  </sheetViews>
  <sheetFormatPr defaultRowHeight="16.5"/>
  <cols>
    <col min="7" max="7" width="5.25" bestFit="1" customWidth="1"/>
    <col min="10" max="10" width="2.875" customWidth="1"/>
    <col min="11" max="11" width="7.5" customWidth="1"/>
    <col min="12" max="14" width="7.25" customWidth="1"/>
    <col min="15" max="16" width="4.875" customWidth="1"/>
  </cols>
  <sheetData>
    <row r="1" spans="1:16">
      <c r="A1" t="s">
        <v>49</v>
      </c>
      <c r="K1" t="s">
        <v>50</v>
      </c>
      <c r="L1" t="s">
        <v>51</v>
      </c>
    </row>
    <row r="2" spans="1:16">
      <c r="A2" s="6" t="s">
        <v>52</v>
      </c>
      <c r="B2" s="6" t="s">
        <v>53</v>
      </c>
      <c r="C2" s="6" t="s">
        <v>54</v>
      </c>
      <c r="D2" s="6" t="s">
        <v>55</v>
      </c>
      <c r="E2" s="6" t="s">
        <v>56</v>
      </c>
      <c r="F2" s="6" t="s">
        <v>57</v>
      </c>
      <c r="G2" s="7" t="s">
        <v>58</v>
      </c>
      <c r="H2" s="7" t="s">
        <v>59</v>
      </c>
      <c r="I2" s="6" t="s">
        <v>60</v>
      </c>
      <c r="K2" s="19" t="s">
        <v>61</v>
      </c>
      <c r="L2" s="20"/>
      <c r="M2" s="6" t="s">
        <v>58</v>
      </c>
      <c r="N2" s="7">
        <v>1</v>
      </c>
      <c r="O2" s="7">
        <v>2</v>
      </c>
      <c r="P2" s="7">
        <v>3</v>
      </c>
    </row>
    <row r="3" spans="1:16">
      <c r="A3" s="6" t="s">
        <v>62</v>
      </c>
      <c r="B3" s="5">
        <v>63</v>
      </c>
      <c r="C3" s="5">
        <v>53</v>
      </c>
      <c r="D3" s="5">
        <v>75</v>
      </c>
      <c r="E3" s="5"/>
      <c r="F3" s="5">
        <v>63.7</v>
      </c>
      <c r="G3" s="6" t="str">
        <f>VLOOKUP(F3,$K$3:$M$11,3)</f>
        <v>D</v>
      </c>
      <c r="H3" s="6" t="e" cm="1">
        <f t="array" aca="1" ref="H3" ca="1">sh판정(B3,C3,D3,E3,F3)</f>
        <v>#NAME?</v>
      </c>
      <c r="I3" s="5">
        <v>1</v>
      </c>
      <c r="K3" s="6">
        <v>0</v>
      </c>
      <c r="L3" s="6">
        <v>59</v>
      </c>
      <c r="M3" s="5" t="s">
        <v>63</v>
      </c>
      <c r="N3" s="5">
        <f t="array" ref="N3">SUM(($G$3:$G$23=$M3)*($I$3:$I$23=N$2))</f>
        <v>0</v>
      </c>
      <c r="O3" s="5">
        <f t="array" ref="O3">SUM(($G$3:$G$23=$M3)*($I$3:$I$23=O$2))</f>
        <v>0</v>
      </c>
      <c r="P3" s="5">
        <f t="array" ref="P3">SUM(($G$3:$G$23=$M3)*($I$3:$I$23=P$2))</f>
        <v>1</v>
      </c>
    </row>
    <row r="4" spans="1:16">
      <c r="A4" s="6" t="s">
        <v>64</v>
      </c>
      <c r="B4" s="5">
        <v>80</v>
      </c>
      <c r="C4" s="5">
        <v>58</v>
      </c>
      <c r="D4" s="5">
        <v>94</v>
      </c>
      <c r="E4" s="5"/>
      <c r="F4" s="5">
        <v>77.3</v>
      </c>
      <c r="G4" s="6" t="str">
        <f t="shared" ref="G4:G23" si="0">VLOOKUP(F4,$K$3:$M$11,3)</f>
        <v>C+</v>
      </c>
      <c r="H4" s="6" t="e" cm="1">
        <f t="array" aca="1" ref="H4" ca="1">sh판정(B4,C4,D4,E4,F4)</f>
        <v>#NAME?</v>
      </c>
      <c r="I4" s="5">
        <v>2</v>
      </c>
      <c r="K4" s="6">
        <v>60</v>
      </c>
      <c r="L4" s="6">
        <v>64</v>
      </c>
      <c r="M4" s="5" t="s">
        <v>65</v>
      </c>
      <c r="N4" s="5">
        <f t="array" ref="N4">SUM(($G$3:$G$23=$M4)*($I$3:$I$23=N$2))</f>
        <v>1</v>
      </c>
      <c r="O4" s="5">
        <f t="array" ref="O4">SUM(($G$3:$G$23=$M4)*($I$3:$I$23=O$2))</f>
        <v>0</v>
      </c>
      <c r="P4" s="5">
        <f t="array" ref="P4">SUM(($G$3:$G$23=$M4)*($I$3:$I$23=P$2))</f>
        <v>0</v>
      </c>
    </row>
    <row r="5" spans="1:16">
      <c r="A5" s="6" t="s">
        <v>66</v>
      </c>
      <c r="B5" s="5">
        <v>91</v>
      </c>
      <c r="C5" s="5">
        <v>66</v>
      </c>
      <c r="D5" s="5">
        <v>89</v>
      </c>
      <c r="E5" s="5">
        <v>2</v>
      </c>
      <c r="F5" s="5">
        <v>82</v>
      </c>
      <c r="G5" s="6" t="str">
        <f t="shared" si="0"/>
        <v>B</v>
      </c>
      <c r="H5" s="6" t="e" cm="1">
        <f t="array" aca="1" ref="H5" ca="1">sh판정(B5,C5,D5,E5,F5)</f>
        <v>#NAME?</v>
      </c>
      <c r="I5" s="5">
        <v>3</v>
      </c>
      <c r="K5" s="6">
        <v>65</v>
      </c>
      <c r="L5" s="6">
        <v>69</v>
      </c>
      <c r="M5" s="5" t="s">
        <v>67</v>
      </c>
      <c r="N5" s="5">
        <f t="array" ref="N5">SUM(($G$3:$G$23=$M5)*($I$3:$I$23=N$2))</f>
        <v>0</v>
      </c>
      <c r="O5" s="5">
        <f t="array" ref="O5">SUM(($G$3:$G$23=$M5)*($I$3:$I$23=O$2))</f>
        <v>1</v>
      </c>
      <c r="P5" s="5">
        <f t="array" ref="P5">SUM(($G$3:$G$23=$M5)*($I$3:$I$23=P$2))</f>
        <v>0</v>
      </c>
    </row>
    <row r="6" spans="1:16">
      <c r="A6" s="6" t="s">
        <v>68</v>
      </c>
      <c r="B6" s="5">
        <v>67</v>
      </c>
      <c r="C6" s="5">
        <v>66</v>
      </c>
      <c r="D6" s="5">
        <v>88</v>
      </c>
      <c r="E6" s="5"/>
      <c r="F6" s="5">
        <v>73.7</v>
      </c>
      <c r="G6" s="6" t="str">
        <f t="shared" si="0"/>
        <v>C</v>
      </c>
      <c r="H6" s="6" t="e" cm="1">
        <f t="array" aca="1" ref="H6" ca="1">sh판정(B6,C6,D6,E6,F6)</f>
        <v>#NAME?</v>
      </c>
      <c r="I6" s="5">
        <v>1</v>
      </c>
      <c r="K6" s="6">
        <v>70</v>
      </c>
      <c r="L6" s="6">
        <v>74</v>
      </c>
      <c r="M6" s="5" t="s">
        <v>69</v>
      </c>
      <c r="N6" s="5">
        <f t="array" ref="N6">SUM(($G$3:$G$23=$M6)*($I$3:$I$23=N$2))</f>
        <v>1</v>
      </c>
      <c r="O6" s="5">
        <f t="array" ref="O6">SUM(($G$3:$G$23=$M6)*($I$3:$I$23=O$2))</f>
        <v>1</v>
      </c>
      <c r="P6" s="5">
        <f t="array" ref="P6">SUM(($G$3:$G$23=$M6)*($I$3:$I$23=P$2))</f>
        <v>2</v>
      </c>
    </row>
    <row r="7" spans="1:16">
      <c r="A7" s="6" t="s">
        <v>70</v>
      </c>
      <c r="B7" s="5">
        <v>96</v>
      </c>
      <c r="C7" s="5">
        <v>91</v>
      </c>
      <c r="D7" s="5">
        <v>99</v>
      </c>
      <c r="E7" s="5"/>
      <c r="F7" s="5">
        <v>95.3</v>
      </c>
      <c r="G7" s="6" t="str">
        <f t="shared" si="0"/>
        <v>A+</v>
      </c>
      <c r="H7" s="6" t="e" cm="1">
        <f t="array" aca="1" ref="H7" ca="1">sh판정(B7,C7,D7,E7,F7)</f>
        <v>#NAME?</v>
      </c>
      <c r="I7" s="5">
        <v>2</v>
      </c>
      <c r="K7" s="6">
        <v>75</v>
      </c>
      <c r="L7" s="6">
        <v>79</v>
      </c>
      <c r="M7" s="5" t="s">
        <v>71</v>
      </c>
      <c r="N7" s="5">
        <f t="array" ref="N7">SUM(($G$3:$G$23=$M7)*($I$3:$I$23=N$2))</f>
        <v>3</v>
      </c>
      <c r="O7" s="5">
        <f t="array" ref="O7">SUM(($G$3:$G$23=$M7)*($I$3:$I$23=O$2))</f>
        <v>3</v>
      </c>
      <c r="P7" s="5">
        <f t="array" ref="P7">SUM(($G$3:$G$23=$M7)*($I$3:$I$23=P$2))</f>
        <v>1</v>
      </c>
    </row>
    <row r="8" spans="1:16">
      <c r="A8" s="6" t="s">
        <v>72</v>
      </c>
      <c r="B8" s="5">
        <v>79</v>
      </c>
      <c r="C8" s="5">
        <v>70</v>
      </c>
      <c r="D8" s="5">
        <v>86</v>
      </c>
      <c r="E8" s="5">
        <v>1</v>
      </c>
      <c r="F8" s="5">
        <v>78.3</v>
      </c>
      <c r="G8" s="6" t="str">
        <f t="shared" si="0"/>
        <v>C+</v>
      </c>
      <c r="H8" s="6" t="e" cm="1">
        <f t="array" aca="1" ref="H8" ca="1">sh판정(B8,C8,D8,E8,F8)</f>
        <v>#NAME?</v>
      </c>
      <c r="I8" s="5">
        <v>3</v>
      </c>
      <c r="K8" s="6">
        <v>80</v>
      </c>
      <c r="L8" s="6">
        <v>84</v>
      </c>
      <c r="M8" s="5" t="s">
        <v>73</v>
      </c>
      <c r="N8" s="5">
        <f t="array" ref="N8">SUM(($G$3:$G$23=$M8)*($I$3:$I$23=N$2))</f>
        <v>1</v>
      </c>
      <c r="O8" s="5">
        <f t="array" ref="O8">SUM(($G$3:$G$23=$M8)*($I$3:$I$23=O$2))</f>
        <v>0</v>
      </c>
      <c r="P8" s="5">
        <f t="array" ref="P8">SUM(($G$3:$G$23=$M8)*($I$3:$I$23=P$2))</f>
        <v>3</v>
      </c>
    </row>
    <row r="9" spans="1:16">
      <c r="A9" s="6" t="s">
        <v>74</v>
      </c>
      <c r="B9" s="5">
        <v>96</v>
      </c>
      <c r="C9" s="5">
        <v>90</v>
      </c>
      <c r="D9" s="5">
        <v>84</v>
      </c>
      <c r="E9" s="5"/>
      <c r="F9" s="5">
        <v>90</v>
      </c>
      <c r="G9" s="6" t="str">
        <f t="shared" si="0"/>
        <v>A</v>
      </c>
      <c r="H9" s="6" t="e" cm="1">
        <f t="array" aca="1" ref="H9" ca="1">sh판정(B9,C9,D9,E9,F9)</f>
        <v>#NAME?</v>
      </c>
      <c r="I9" s="5">
        <v>1</v>
      </c>
      <c r="K9" s="6">
        <v>85</v>
      </c>
      <c r="L9" s="6">
        <v>89</v>
      </c>
      <c r="M9" s="5" t="s">
        <v>75</v>
      </c>
      <c r="N9" s="5">
        <f t="array" ref="N9">SUM(($G$3:$G$23=$M9)*($I$3:$I$23=N$2))</f>
        <v>0</v>
      </c>
      <c r="O9" s="5">
        <f t="array" ref="O9">SUM(($G$3:$G$23=$M9)*($I$3:$I$23=O$2))</f>
        <v>1</v>
      </c>
      <c r="P9" s="5">
        <f t="array" ref="P9">SUM(($G$3:$G$23=$M9)*($I$3:$I$23=P$2))</f>
        <v>0</v>
      </c>
    </row>
    <row r="10" spans="1:16">
      <c r="A10" s="6" t="s">
        <v>76</v>
      </c>
      <c r="B10" s="5">
        <v>86</v>
      </c>
      <c r="C10" s="5">
        <v>87</v>
      </c>
      <c r="D10" s="5">
        <v>84</v>
      </c>
      <c r="E10" s="5"/>
      <c r="F10" s="5">
        <v>85.7</v>
      </c>
      <c r="G10" s="6" t="str">
        <f t="shared" si="0"/>
        <v>B+</v>
      </c>
      <c r="H10" s="6" t="e" cm="1">
        <f t="array" aca="1" ref="H10" ca="1">sh판정(B10,C10,D10,E10,F10)</f>
        <v>#NAME?</v>
      </c>
      <c r="I10" s="5">
        <v>2</v>
      </c>
      <c r="K10" s="6">
        <v>90</v>
      </c>
      <c r="L10" s="6">
        <v>94</v>
      </c>
      <c r="M10" s="5" t="s">
        <v>77</v>
      </c>
      <c r="N10" s="5">
        <f t="array" ref="N10">SUM(($G$3:$G$23=$M10)*($I$3:$I$23=N$2))</f>
        <v>1</v>
      </c>
      <c r="O10" s="5">
        <f t="array" ref="O10">SUM(($G$3:$G$23=$M10)*($I$3:$I$23=O$2))</f>
        <v>0</v>
      </c>
      <c r="P10" s="5">
        <f t="array" ref="P10">SUM(($G$3:$G$23=$M10)*($I$3:$I$23=P$2))</f>
        <v>0</v>
      </c>
    </row>
    <row r="11" spans="1:16">
      <c r="A11" s="6" t="s">
        <v>78</v>
      </c>
      <c r="B11" s="5">
        <v>50</v>
      </c>
      <c r="C11" s="5">
        <v>60</v>
      </c>
      <c r="D11" s="5">
        <v>55</v>
      </c>
      <c r="E11" s="5">
        <v>3</v>
      </c>
      <c r="F11" s="5">
        <v>55</v>
      </c>
      <c r="G11" s="6" t="str">
        <f t="shared" si="0"/>
        <v>F</v>
      </c>
      <c r="H11" s="6" t="e" cm="1">
        <f t="array" aca="1" ref="H11" ca="1">sh판정(B11,C11,D11,E11,F11)</f>
        <v>#NAME?</v>
      </c>
      <c r="I11" s="5">
        <v>3</v>
      </c>
      <c r="K11" s="6">
        <v>95</v>
      </c>
      <c r="L11" s="6">
        <v>100</v>
      </c>
      <c r="M11" s="5" t="s">
        <v>79</v>
      </c>
      <c r="N11" s="5">
        <f t="array" ref="N11">SUM(($G$3:$G$23=$M11)*($I$3:$I$23=N$2))</f>
        <v>0</v>
      </c>
      <c r="O11" s="5">
        <f t="array" ref="O11">SUM(($G$3:$G$23=$M11)*($I$3:$I$23=O$2))</f>
        <v>1</v>
      </c>
      <c r="P11" s="5">
        <f t="array" ref="P11">SUM(($G$3:$G$23=$M11)*($I$3:$I$23=P$2))</f>
        <v>0</v>
      </c>
    </row>
    <row r="12" spans="1:16">
      <c r="A12" s="6" t="s">
        <v>80</v>
      </c>
      <c r="B12" s="5">
        <v>77</v>
      </c>
      <c r="C12" s="5">
        <v>80</v>
      </c>
      <c r="D12" s="5">
        <v>78</v>
      </c>
      <c r="E12" s="5"/>
      <c r="F12" s="5">
        <v>78.3</v>
      </c>
      <c r="G12" s="6" t="str">
        <f t="shared" si="0"/>
        <v>C+</v>
      </c>
      <c r="H12" s="6" t="e" cm="1">
        <f t="array" aca="1" ref="H12" ca="1">sh판정(B12,C12,D12,E12,F12)</f>
        <v>#NAME?</v>
      </c>
      <c r="I12" s="5">
        <v>1</v>
      </c>
    </row>
    <row r="13" spans="1:16">
      <c r="A13" s="6" t="s">
        <v>81</v>
      </c>
      <c r="B13" s="5">
        <v>54</v>
      </c>
      <c r="C13" s="5">
        <v>75</v>
      </c>
      <c r="D13" s="5">
        <v>77</v>
      </c>
      <c r="E13" s="5"/>
      <c r="F13" s="5">
        <v>68.7</v>
      </c>
      <c r="G13" s="6" t="str">
        <f t="shared" si="0"/>
        <v>D+</v>
      </c>
      <c r="H13" s="6" t="e" cm="1">
        <f t="array" aca="1" ref="H13" ca="1">sh판정(B13,C13,D13,E13,F13)</f>
        <v>#NAME?</v>
      </c>
      <c r="I13" s="5">
        <v>2</v>
      </c>
    </row>
    <row r="14" spans="1:16">
      <c r="A14" s="6" t="s">
        <v>82</v>
      </c>
      <c r="B14" s="5">
        <v>63</v>
      </c>
      <c r="C14" s="5">
        <v>83</v>
      </c>
      <c r="D14" s="5">
        <v>75</v>
      </c>
      <c r="E14" s="5">
        <v>1</v>
      </c>
      <c r="F14" s="5">
        <v>73.7</v>
      </c>
      <c r="G14" s="6" t="str">
        <f t="shared" si="0"/>
        <v>C</v>
      </c>
      <c r="H14" s="6" t="e" cm="1">
        <f t="array" aca="1" ref="H14" ca="1">sh판정(B14,C14,D14,E14,F14)</f>
        <v>#NAME?</v>
      </c>
      <c r="I14" s="5">
        <v>3</v>
      </c>
    </row>
    <row r="15" spans="1:16">
      <c r="A15" s="6" t="s">
        <v>83</v>
      </c>
      <c r="B15" s="5">
        <v>81</v>
      </c>
      <c r="C15" s="5">
        <v>84</v>
      </c>
      <c r="D15" s="5">
        <v>73</v>
      </c>
      <c r="E15" s="5"/>
      <c r="F15" s="5">
        <v>79.3</v>
      </c>
      <c r="G15" s="6" t="str">
        <f t="shared" si="0"/>
        <v>C+</v>
      </c>
      <c r="H15" s="6" t="e" cm="1">
        <f t="array" aca="1" ref="H15" ca="1">sh판정(B15,C15,D15,E15,F15)</f>
        <v>#NAME?</v>
      </c>
      <c r="I15" s="5">
        <v>1</v>
      </c>
      <c r="K15" t="s">
        <v>84</v>
      </c>
      <c r="L15" t="s">
        <v>85</v>
      </c>
    </row>
    <row r="16" spans="1:16">
      <c r="A16" s="6" t="s">
        <v>86</v>
      </c>
      <c r="B16" s="5">
        <v>68</v>
      </c>
      <c r="C16" s="5">
        <v>89</v>
      </c>
      <c r="D16" s="5">
        <v>72</v>
      </c>
      <c r="E16" s="5"/>
      <c r="F16" s="5">
        <v>76.3</v>
      </c>
      <c r="G16" s="6" t="str">
        <f t="shared" si="0"/>
        <v>C+</v>
      </c>
      <c r="H16" s="6" t="e" cm="1">
        <f t="array" aca="1" ref="H16" ca="1">sh판정(B16,C16,D16,E16,F16)</f>
        <v>#NAME?</v>
      </c>
      <c r="I16" s="5">
        <v>2</v>
      </c>
      <c r="K16" s="8">
        <v>1</v>
      </c>
      <c r="L16" s="8">
        <v>2</v>
      </c>
      <c r="M16" s="8">
        <v>3</v>
      </c>
    </row>
    <row r="17" spans="1:15">
      <c r="A17" s="6" t="s">
        <v>87</v>
      </c>
      <c r="B17" s="5">
        <v>88</v>
      </c>
      <c r="C17" s="5">
        <v>89</v>
      </c>
      <c r="D17" s="5">
        <v>66</v>
      </c>
      <c r="E17" s="5"/>
      <c r="F17" s="5">
        <v>81</v>
      </c>
      <c r="G17" s="6" t="str">
        <f t="shared" si="0"/>
        <v>B</v>
      </c>
      <c r="H17" s="6" t="e" cm="1">
        <f t="array" aca="1" ref="H17" ca="1">sh판정(B17,C17,D17,E17,F17)</f>
        <v>#NAME?</v>
      </c>
      <c r="I17" s="5">
        <v>3</v>
      </c>
      <c r="K17" s="5">
        <f t="array" ref="K17">INT(AVERAGE(IF(($I$3:$I$23=K16)*(($I$3:$I$23=K16)*($F$3:$F$23)&lt;&gt;MAX(($I$3:$I$23=K16)*($F$3:$F$23))),$F$3:$F$23)))</f>
        <v>75</v>
      </c>
      <c r="L17" s="5">
        <f t="array" ref="L17">INT(AVERAGE(IF(($I$3:$I$23=L16)*(($I$3:$I$23=L16)*($F$3:$F$23)&lt;&gt;MAX(($I$3:$I$23=L16)*($F$3:$F$23))),$F$3:$F$23)))</f>
        <v>76</v>
      </c>
      <c r="M17" s="5">
        <f t="array" ref="M17">INT(AVERAGE(IF(($I$3:$I$23=M16)*(($I$3:$I$23=M16)*($F$3:$F$23)&lt;&gt;MAX(($I$3:$I$23=M16)*($F$3:$F$23))),$F$3:$F$23)))</f>
        <v>73</v>
      </c>
    </row>
    <row r="18" spans="1:15">
      <c r="A18" s="6" t="s">
        <v>88</v>
      </c>
      <c r="B18" s="5">
        <v>75</v>
      </c>
      <c r="C18" s="5">
        <v>91</v>
      </c>
      <c r="D18" s="5">
        <v>65</v>
      </c>
      <c r="E18" s="5"/>
      <c r="F18" s="5">
        <v>77</v>
      </c>
      <c r="G18" s="6" t="str">
        <f t="shared" si="0"/>
        <v>C+</v>
      </c>
      <c r="H18" s="6" t="e" cm="1">
        <f t="array" aca="1" ref="H18" ca="1">sh판정(B18,C18,D18,E18,F18)</f>
        <v>#NAME?</v>
      </c>
      <c r="I18" s="5">
        <v>1</v>
      </c>
    </row>
    <row r="19" spans="1:15">
      <c r="A19" s="6" t="s">
        <v>89</v>
      </c>
      <c r="B19" s="5">
        <v>66</v>
      </c>
      <c r="C19" s="5">
        <v>93</v>
      </c>
      <c r="D19" s="5">
        <v>64</v>
      </c>
      <c r="E19" s="5"/>
      <c r="F19" s="5">
        <v>74.3</v>
      </c>
      <c r="G19" s="6" t="str">
        <f t="shared" si="0"/>
        <v>C</v>
      </c>
      <c r="H19" s="6" t="e" cm="1">
        <f t="array" aca="1" ref="H19" ca="1">sh판정(B19,C19,D19,E19,F19)</f>
        <v>#NAME?</v>
      </c>
      <c r="I19" s="5">
        <v>2</v>
      </c>
      <c r="K19" t="s">
        <v>90</v>
      </c>
      <c r="L19" t="s">
        <v>149</v>
      </c>
    </row>
    <row r="20" spans="1:15">
      <c r="A20" s="6" t="s">
        <v>91</v>
      </c>
      <c r="B20" s="5">
        <v>86</v>
      </c>
      <c r="C20" s="5">
        <v>93</v>
      </c>
      <c r="D20" s="5">
        <v>61</v>
      </c>
      <c r="E20" s="5"/>
      <c r="F20" s="5">
        <v>80</v>
      </c>
      <c r="G20" s="6" t="str">
        <f t="shared" si="0"/>
        <v>B</v>
      </c>
      <c r="H20" s="6" t="e" cm="1">
        <f t="array" aca="1" ref="H20" ca="1">sh판정(B20,C20,D20,E20,F20)</f>
        <v>#NAME?</v>
      </c>
      <c r="I20" s="5">
        <v>3</v>
      </c>
      <c r="K20" s="6" t="s">
        <v>60</v>
      </c>
      <c r="L20" s="5">
        <v>1</v>
      </c>
      <c r="M20" s="5">
        <v>2</v>
      </c>
      <c r="N20" s="5">
        <v>3</v>
      </c>
      <c r="O20" s="14"/>
    </row>
    <row r="21" spans="1:15">
      <c r="A21" s="6" t="s">
        <v>92</v>
      </c>
      <c r="B21" s="5">
        <v>90</v>
      </c>
      <c r="C21" s="5">
        <v>94</v>
      </c>
      <c r="D21" s="5">
        <v>61</v>
      </c>
      <c r="E21" s="5"/>
      <c r="F21" s="5">
        <v>81.7</v>
      </c>
      <c r="G21" s="6" t="str">
        <f t="shared" si="0"/>
        <v>B</v>
      </c>
      <c r="H21" s="6" t="e" cm="1">
        <f t="array" aca="1" ref="H21" ca="1">sh판정(B21,C21,D21,E21,F21)</f>
        <v>#NAME?</v>
      </c>
      <c r="I21" s="5">
        <v>1</v>
      </c>
      <c r="K21" s="7" t="s">
        <v>150</v>
      </c>
      <c r="L21" s="6" t="str">
        <f t="array" ref="L21">_xlfn.XLOOKUP(MAX(IF($I$3:$I$23=L20,$F$3:$F$23)),($I$3:$I$23=L20)*$F$3:$F$23,$A$3:$A$23,,0)</f>
        <v>김용철</v>
      </c>
      <c r="M21" s="6" t="str">
        <f t="array" ref="M21">_xlfn.XLOOKUP(MAX(IF($I$3:$I$23=M20,$F$3:$F$23)),($I$3:$I$23=M20)*$F$3:$F$23,$A$3:$A$23,,0)</f>
        <v>김병철</v>
      </c>
      <c r="N21" s="6" t="str">
        <f t="array" ref="N21">_xlfn.XLOOKUP(MAX(IF($I$3:$I$23=N20,$F$3:$F$23)),($I$3:$I$23=N20)*$F$3:$F$23,$A$3:$A$23,,0)</f>
        <v>김규한</v>
      </c>
    </row>
    <row r="22" spans="1:15">
      <c r="A22" s="6" t="s">
        <v>93</v>
      </c>
      <c r="B22" s="5">
        <v>90</v>
      </c>
      <c r="C22" s="5">
        <v>87</v>
      </c>
      <c r="D22" s="5">
        <v>53</v>
      </c>
      <c r="E22" s="5"/>
      <c r="F22" s="5">
        <v>76.7</v>
      </c>
      <c r="G22" s="6" t="str">
        <f t="shared" si="0"/>
        <v>C+</v>
      </c>
      <c r="H22" s="6" t="e" cm="1">
        <f t="array" aca="1" ref="H22" ca="1">sh판정(B22,C22,D22,E22,F22)</f>
        <v>#NAME?</v>
      </c>
      <c r="I22" s="5">
        <v>2</v>
      </c>
    </row>
    <row r="23" spans="1:15">
      <c r="A23" s="6" t="s">
        <v>94</v>
      </c>
      <c r="B23" s="5">
        <v>74</v>
      </c>
      <c r="C23" s="5">
        <v>90</v>
      </c>
      <c r="D23" s="5">
        <v>48</v>
      </c>
      <c r="E23" s="5">
        <v>1</v>
      </c>
      <c r="F23" s="5">
        <v>70.7</v>
      </c>
      <c r="G23" s="6" t="str">
        <f t="shared" si="0"/>
        <v>C</v>
      </c>
      <c r="H23" s="6" t="e" cm="1">
        <f t="array" aca="1" ref="H23" ca="1">sh판정(B23,C23,D23,E23,F23)</f>
        <v>#NAME?</v>
      </c>
      <c r="I23" s="5">
        <v>3</v>
      </c>
    </row>
  </sheetData>
  <mergeCells count="1">
    <mergeCell ref="K2:L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2:D14"/>
  <sheetViews>
    <sheetView workbookViewId="0"/>
  </sheetViews>
  <sheetFormatPr defaultRowHeight="16.5"/>
  <cols>
    <col min="1" max="1" width="18" bestFit="1" customWidth="1"/>
    <col min="2" max="2" width="8.5" bestFit="1" customWidth="1"/>
    <col min="3" max="3" width="10.625" bestFit="1" customWidth="1"/>
    <col min="4" max="4" width="9.75" bestFit="1" customWidth="1"/>
  </cols>
  <sheetData>
    <row r="2" spans="1:4">
      <c r="A2" s="15" t="s">
        <v>163</v>
      </c>
      <c r="B2" s="15" t="s">
        <v>164</v>
      </c>
      <c r="C2" s="15" t="s">
        <v>165</v>
      </c>
    </row>
    <row r="3" spans="1:4">
      <c r="A3" t="s">
        <v>155</v>
      </c>
      <c r="B3" t="s">
        <v>159</v>
      </c>
      <c r="C3" t="s">
        <v>160</v>
      </c>
      <c r="D3" s="16">
        <v>10000</v>
      </c>
    </row>
    <row r="4" spans="1:4">
      <c r="C4" t="s">
        <v>161</v>
      </c>
      <c r="D4" s="16">
        <v>7000</v>
      </c>
    </row>
    <row r="5" spans="1:4">
      <c r="C5" t="s">
        <v>162</v>
      </c>
      <c r="D5" s="16">
        <v>5000</v>
      </c>
    </row>
    <row r="6" spans="1:4">
      <c r="A6" t="s">
        <v>156</v>
      </c>
      <c r="B6" t="s">
        <v>159</v>
      </c>
      <c r="C6" t="s">
        <v>160</v>
      </c>
      <c r="D6" s="16">
        <v>8000</v>
      </c>
    </row>
    <row r="7" spans="1:4">
      <c r="C7" t="s">
        <v>161</v>
      </c>
      <c r="D7" s="16" t="s">
        <v>166</v>
      </c>
    </row>
    <row r="8" spans="1:4">
      <c r="C8" t="s">
        <v>162</v>
      </c>
      <c r="D8" s="16">
        <v>5000</v>
      </c>
    </row>
    <row r="9" spans="1:4">
      <c r="A9" t="s">
        <v>157</v>
      </c>
      <c r="B9" t="s">
        <v>159</v>
      </c>
      <c r="C9" t="s">
        <v>160</v>
      </c>
      <c r="D9" s="16">
        <v>16000</v>
      </c>
    </row>
    <row r="10" spans="1:4">
      <c r="C10" t="s">
        <v>161</v>
      </c>
      <c r="D10" s="16" t="s">
        <v>166</v>
      </c>
    </row>
    <row r="11" spans="1:4">
      <c r="C11" t="s">
        <v>162</v>
      </c>
      <c r="D11" s="16">
        <v>14000</v>
      </c>
    </row>
    <row r="12" spans="1:4">
      <c r="A12" t="s">
        <v>158</v>
      </c>
      <c r="B12" t="s">
        <v>159</v>
      </c>
      <c r="C12" t="s">
        <v>160</v>
      </c>
      <c r="D12" s="16" t="s">
        <v>166</v>
      </c>
    </row>
    <row r="13" spans="1:4">
      <c r="C13" t="s">
        <v>161</v>
      </c>
      <c r="D13" s="16">
        <v>5000</v>
      </c>
    </row>
    <row r="14" spans="1:4">
      <c r="C14" t="s">
        <v>162</v>
      </c>
      <c r="D14" s="16" t="s">
        <v>166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 filterMode="1"/>
  <dimension ref="A1:E9"/>
  <sheetViews>
    <sheetView workbookViewId="0">
      <selection sqref="A1:E1"/>
    </sheetView>
  </sheetViews>
  <sheetFormatPr defaultRowHeight="16.5"/>
  <cols>
    <col min="2" max="3" width="9.125" bestFit="1" customWidth="1"/>
    <col min="4" max="4" width="12.125" customWidth="1"/>
    <col min="5" max="5" width="12" customWidth="1"/>
  </cols>
  <sheetData>
    <row r="1" spans="1:5" ht="20.25">
      <c r="A1" s="21" t="s">
        <v>95</v>
      </c>
      <c r="B1" s="21"/>
      <c r="C1" s="21"/>
      <c r="D1" s="21"/>
      <c r="E1" s="21"/>
    </row>
    <row r="2" spans="1:5">
      <c r="A2" s="9" t="s">
        <v>2</v>
      </c>
      <c r="B2" s="9" t="s">
        <v>96</v>
      </c>
      <c r="C2" s="9" t="s">
        <v>97</v>
      </c>
      <c r="D2" s="9" t="s">
        <v>98</v>
      </c>
      <c r="E2" s="9" t="s">
        <v>99</v>
      </c>
    </row>
    <row r="3" spans="1:5">
      <c r="A3" s="9" t="s">
        <v>100</v>
      </c>
      <c r="B3" s="9">
        <v>15</v>
      </c>
      <c r="C3" s="9">
        <v>22</v>
      </c>
      <c r="D3" s="9">
        <v>525000</v>
      </c>
      <c r="E3" s="9">
        <f>D3*5%</f>
        <v>26250</v>
      </c>
    </row>
    <row r="4" spans="1:5">
      <c r="A4" s="9" t="s">
        <v>101</v>
      </c>
      <c r="B4" s="9">
        <v>11</v>
      </c>
      <c r="C4" s="9">
        <v>11</v>
      </c>
      <c r="D4" s="9">
        <v>385000</v>
      </c>
      <c r="E4" s="9">
        <f>D4*5%</f>
        <v>19250</v>
      </c>
    </row>
    <row r="5" spans="1:5">
      <c r="A5" s="9" t="s">
        <v>102</v>
      </c>
      <c r="B5" s="9">
        <v>32</v>
      </c>
      <c r="C5" s="9">
        <v>14</v>
      </c>
      <c r="D5" s="9">
        <v>1120000</v>
      </c>
      <c r="E5" s="9">
        <f>D5*10%</f>
        <v>112000</v>
      </c>
    </row>
    <row r="6" spans="1:5">
      <c r="A6" s="9" t="s">
        <v>103</v>
      </c>
      <c r="B6" s="9">
        <v>4</v>
      </c>
      <c r="C6" s="9">
        <v>2</v>
      </c>
      <c r="D6" s="9">
        <v>140000</v>
      </c>
      <c r="E6" s="9">
        <f>D6*5%</f>
        <v>7000</v>
      </c>
    </row>
    <row r="7" spans="1:5" hidden="1">
      <c r="A7" s="9" t="s">
        <v>104</v>
      </c>
      <c r="B7" s="9">
        <v>15</v>
      </c>
      <c r="C7" s="9">
        <v>24</v>
      </c>
      <c r="D7" s="9">
        <v>525000</v>
      </c>
      <c r="E7" s="9">
        <f>D7*5%</f>
        <v>26250</v>
      </c>
    </row>
    <row r="8" spans="1:5" hidden="1">
      <c r="A8" s="9" t="s">
        <v>105</v>
      </c>
      <c r="B8" s="9">
        <v>35</v>
      </c>
      <c r="C8" s="9">
        <v>36</v>
      </c>
      <c r="D8" s="9">
        <v>1225000</v>
      </c>
      <c r="E8" s="9">
        <f>D8*10%</f>
        <v>122500</v>
      </c>
    </row>
    <row r="9" spans="1:5">
      <c r="A9" s="10" t="s">
        <v>106</v>
      </c>
      <c r="B9" s="11">
        <v>14</v>
      </c>
      <c r="C9" s="11">
        <v>15</v>
      </c>
      <c r="D9" s="11">
        <v>600000</v>
      </c>
      <c r="E9" s="11">
        <f>D9*5%</f>
        <v>30000</v>
      </c>
    </row>
  </sheetData>
  <autoFilter ref="A2:E9" xr:uid="{BE2564C4-6590-4BC1-9648-4ABDB3937BD1}">
    <filterColumn colId="2">
      <top10 top="0" val="5" filterVal="22"/>
    </filterColumn>
  </autoFilter>
  <mergeCells count="1">
    <mergeCell ref="A1:E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A1:F8"/>
  <sheetViews>
    <sheetView workbookViewId="0"/>
  </sheetViews>
  <sheetFormatPr defaultRowHeight="16.5"/>
  <cols>
    <col min="6" max="6" width="13.5" customWidth="1"/>
  </cols>
  <sheetData>
    <row r="1" spans="1:6" ht="26.25">
      <c r="B1" s="22" t="s">
        <v>107</v>
      </c>
      <c r="C1" s="22"/>
      <c r="D1" s="22"/>
      <c r="E1" s="22"/>
      <c r="F1" s="22"/>
    </row>
    <row r="2" spans="1:6">
      <c r="F2" s="12" t="s">
        <v>114</v>
      </c>
    </row>
    <row r="3" spans="1:6">
      <c r="A3" s="7" t="s">
        <v>108</v>
      </c>
      <c r="B3" s="7" t="s">
        <v>109</v>
      </c>
      <c r="C3" s="7" t="s">
        <v>110</v>
      </c>
      <c r="D3" s="7" t="s">
        <v>111</v>
      </c>
      <c r="E3" s="7" t="s">
        <v>112</v>
      </c>
      <c r="F3" s="7" t="s">
        <v>113</v>
      </c>
    </row>
    <row r="4" spans="1:6">
      <c r="A4" s="6" t="s">
        <v>115</v>
      </c>
      <c r="B4" s="13">
        <v>1053</v>
      </c>
      <c r="C4" s="13">
        <v>8232</v>
      </c>
      <c r="D4" s="13">
        <v>9280</v>
      </c>
      <c r="E4" s="13">
        <v>-1518</v>
      </c>
      <c r="F4" s="5">
        <v>12.82</v>
      </c>
    </row>
    <row r="5" spans="1:6">
      <c r="A5" s="6" t="s">
        <v>116</v>
      </c>
      <c r="B5" s="13">
        <v>1193</v>
      </c>
      <c r="C5" s="13">
        <v>8033</v>
      </c>
      <c r="D5" s="13">
        <v>9221</v>
      </c>
      <c r="E5" s="13">
        <v>-1696</v>
      </c>
      <c r="F5" s="5">
        <v>14.88</v>
      </c>
    </row>
    <row r="6" spans="1:6">
      <c r="A6" s="6" t="s">
        <v>153</v>
      </c>
      <c r="B6" s="13">
        <v>1060</v>
      </c>
      <c r="C6" s="13">
        <v>8269</v>
      </c>
      <c r="D6" s="13">
        <v>9324</v>
      </c>
      <c r="E6" s="13">
        <v>-1715</v>
      </c>
      <c r="F6" s="5">
        <v>12.84</v>
      </c>
    </row>
    <row r="7" spans="1:6">
      <c r="A7" s="6" t="s">
        <v>152</v>
      </c>
      <c r="B7" s="13">
        <v>1426</v>
      </c>
      <c r="C7" s="13">
        <v>4373</v>
      </c>
      <c r="D7" s="13">
        <v>5794</v>
      </c>
      <c r="E7" s="13">
        <v>-1177</v>
      </c>
      <c r="F7" s="5">
        <v>32.67</v>
      </c>
    </row>
    <row r="8" spans="1:6">
      <c r="A8" s="6" t="s">
        <v>151</v>
      </c>
      <c r="B8" s="13">
        <v>1539</v>
      </c>
      <c r="C8" s="13">
        <v>4486</v>
      </c>
      <c r="D8" s="13">
        <v>5907</v>
      </c>
      <c r="E8" s="13">
        <v>-1064</v>
      </c>
      <c r="F8" s="5">
        <v>34.369999999999997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1:E15"/>
  <sheetViews>
    <sheetView workbookViewId="0"/>
  </sheetViews>
  <sheetFormatPr defaultRowHeight="16.5"/>
  <cols>
    <col min="1" max="1" width="11.875" bestFit="1" customWidth="1"/>
    <col min="6" max="6" width="2.75" customWidth="1"/>
  </cols>
  <sheetData>
    <row r="1" spans="1:5">
      <c r="A1" t="s">
        <v>117</v>
      </c>
    </row>
    <row r="2" spans="1:5">
      <c r="A2" s="6" t="s">
        <v>118</v>
      </c>
      <c r="B2" s="6" t="s">
        <v>119</v>
      </c>
      <c r="C2" s="6" t="s">
        <v>120</v>
      </c>
      <c r="D2" s="6" t="s">
        <v>121</v>
      </c>
      <c r="E2" s="6" t="s">
        <v>122</v>
      </c>
    </row>
    <row r="3" spans="1:5">
      <c r="A3" s="6" t="s">
        <v>123</v>
      </c>
      <c r="B3" s="17">
        <v>75</v>
      </c>
      <c r="C3" s="17">
        <v>76</v>
      </c>
      <c r="D3" s="17">
        <v>71</v>
      </c>
      <c r="E3" s="6">
        <v>222</v>
      </c>
    </row>
    <row r="4" spans="1:5">
      <c r="A4" s="6" t="s">
        <v>124</v>
      </c>
      <c r="B4" s="17">
        <v>93</v>
      </c>
      <c r="C4" s="17">
        <v>91</v>
      </c>
      <c r="D4" s="17">
        <v>90</v>
      </c>
      <c r="E4" s="6">
        <v>274</v>
      </c>
    </row>
    <row r="5" spans="1:5">
      <c r="A5" s="6" t="s">
        <v>125</v>
      </c>
      <c r="B5" s="17">
        <v>66</v>
      </c>
      <c r="C5" s="17">
        <v>58</v>
      </c>
      <c r="D5" s="17">
        <v>68</v>
      </c>
      <c r="E5" s="6">
        <v>192</v>
      </c>
    </row>
    <row r="6" spans="1:5">
      <c r="A6" s="6" t="s">
        <v>126</v>
      </c>
      <c r="B6" s="17">
        <v>75</v>
      </c>
      <c r="C6" s="17">
        <v>75</v>
      </c>
      <c r="D6" s="17">
        <v>75</v>
      </c>
      <c r="E6" s="6">
        <v>225</v>
      </c>
    </row>
    <row r="7" spans="1:5">
      <c r="A7" s="6" t="s">
        <v>127</v>
      </c>
      <c r="B7" s="17">
        <v>71</v>
      </c>
      <c r="C7" s="17">
        <v>75</v>
      </c>
      <c r="D7" s="17">
        <v>73</v>
      </c>
      <c r="E7" s="6">
        <v>219</v>
      </c>
    </row>
    <row r="8" spans="1:5">
      <c r="A8" s="6" t="s">
        <v>128</v>
      </c>
      <c r="B8" s="17">
        <v>57</v>
      </c>
      <c r="C8" s="17">
        <v>86</v>
      </c>
      <c r="D8" s="17">
        <v>64</v>
      </c>
      <c r="E8" s="6">
        <v>207</v>
      </c>
    </row>
    <row r="9" spans="1:5">
      <c r="A9" s="6" t="s">
        <v>129</v>
      </c>
      <c r="B9" s="17">
        <v>93</v>
      </c>
      <c r="C9" s="17">
        <v>64</v>
      </c>
      <c r="D9" s="17">
        <v>89</v>
      </c>
      <c r="E9" s="6">
        <v>246</v>
      </c>
    </row>
    <row r="10" spans="1:5">
      <c r="A10" s="6" t="s">
        <v>130</v>
      </c>
      <c r="B10" s="17">
        <v>84</v>
      </c>
      <c r="C10" s="17">
        <v>76</v>
      </c>
      <c r="D10" s="17">
        <v>82</v>
      </c>
      <c r="E10" s="6">
        <v>242</v>
      </c>
    </row>
    <row r="11" spans="1:5">
      <c r="A11" s="6" t="s">
        <v>131</v>
      </c>
      <c r="B11" s="17">
        <v>72</v>
      </c>
      <c r="C11" s="17">
        <v>69</v>
      </c>
      <c r="D11" s="17">
        <v>71</v>
      </c>
      <c r="E11" s="6">
        <v>212</v>
      </c>
    </row>
    <row r="12" spans="1:5">
      <c r="A12" s="6" t="s">
        <v>132</v>
      </c>
      <c r="B12" s="17">
        <v>68</v>
      </c>
      <c r="C12" s="17">
        <v>79</v>
      </c>
      <c r="D12" s="17">
        <v>72</v>
      </c>
      <c r="E12" s="6">
        <v>219</v>
      </c>
    </row>
    <row r="13" spans="1:5">
      <c r="A13" s="6" t="s">
        <v>133</v>
      </c>
      <c r="B13" s="17">
        <v>79</v>
      </c>
      <c r="C13" s="17">
        <v>71</v>
      </c>
      <c r="D13" s="17">
        <v>77</v>
      </c>
      <c r="E13" s="6">
        <v>227</v>
      </c>
    </row>
    <row r="14" spans="1:5">
      <c r="A14" s="6" t="s">
        <v>134</v>
      </c>
      <c r="B14" s="17">
        <v>57</v>
      </c>
      <c r="C14" s="17">
        <v>60</v>
      </c>
      <c r="D14" s="17">
        <v>55</v>
      </c>
      <c r="E14" s="6">
        <v>172</v>
      </c>
    </row>
    <row r="15" spans="1:5">
      <c r="A15" s="6" t="s">
        <v>135</v>
      </c>
      <c r="B15" s="17">
        <v>91</v>
      </c>
      <c r="C15" s="17">
        <v>90</v>
      </c>
      <c r="D15" s="17">
        <v>91</v>
      </c>
      <c r="E15" s="6">
        <v>272</v>
      </c>
    </row>
  </sheetData>
  <phoneticPr fontId="1" type="noConversion"/>
  <conditionalFormatting sqref="E3:E15">
    <cfRule type="aboveAverage" dxfId="0" priority="1" equalAverage="1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높은점수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평균이상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I8"/>
  <sheetViews>
    <sheetView workbookViewId="0"/>
  </sheetViews>
  <sheetFormatPr defaultRowHeight="16.5"/>
  <cols>
    <col min="1" max="1" width="9.25" bestFit="1" customWidth="1"/>
    <col min="2" max="2" width="7.375" bestFit="1" customWidth="1"/>
    <col min="3" max="4" width="12" customWidth="1"/>
    <col min="5" max="5" width="9.25" bestFit="1" customWidth="1"/>
    <col min="6" max="6" width="11.75" customWidth="1"/>
    <col min="8" max="8" width="7.375" bestFit="1" customWidth="1"/>
    <col min="9" max="9" width="9.25" bestFit="1" customWidth="1"/>
  </cols>
  <sheetData>
    <row r="1" spans="1:9">
      <c r="A1" t="s">
        <v>136</v>
      </c>
    </row>
    <row r="3" spans="1:9">
      <c r="A3" s="1" t="s">
        <v>137</v>
      </c>
      <c r="B3" s="1" t="s">
        <v>138</v>
      </c>
      <c r="C3" s="1" t="s">
        <v>145</v>
      </c>
      <c r="D3" s="1" t="s">
        <v>146</v>
      </c>
      <c r="E3" s="1" t="s">
        <v>147</v>
      </c>
      <c r="F3" s="1" t="s">
        <v>148</v>
      </c>
      <c r="H3" s="1" t="s">
        <v>138</v>
      </c>
      <c r="I3" s="1" t="s">
        <v>146</v>
      </c>
    </row>
    <row r="4" spans="1:9">
      <c r="A4">
        <v>1</v>
      </c>
      <c r="B4" t="s">
        <v>139</v>
      </c>
      <c r="C4">
        <v>2</v>
      </c>
      <c r="D4">
        <v>80000</v>
      </c>
      <c r="E4">
        <v>160000</v>
      </c>
      <c r="F4" t="s">
        <v>140</v>
      </c>
      <c r="H4" t="s">
        <v>141</v>
      </c>
      <c r="I4" s="3">
        <v>85000</v>
      </c>
    </row>
    <row r="5" spans="1:9">
      <c r="A5">
        <v>2</v>
      </c>
      <c r="B5" t="s">
        <v>142</v>
      </c>
      <c r="C5">
        <v>1</v>
      </c>
      <c r="D5">
        <v>70000</v>
      </c>
      <c r="E5">
        <v>70000</v>
      </c>
      <c r="H5" t="s">
        <v>139</v>
      </c>
      <c r="I5" s="3">
        <v>80000</v>
      </c>
    </row>
    <row r="6" spans="1:9">
      <c r="H6" t="s">
        <v>143</v>
      </c>
      <c r="I6" s="3">
        <v>85000</v>
      </c>
    </row>
    <row r="7" spans="1:9">
      <c r="H7" t="s">
        <v>142</v>
      </c>
      <c r="I7" s="3">
        <v>70000</v>
      </c>
    </row>
    <row r="8" spans="1:9">
      <c r="H8" t="s">
        <v>144</v>
      </c>
      <c r="I8" s="3">
        <v>90000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판매현황등록">
          <controlPr defaultSize="0" autoLine="0" r:id="rId4">
            <anchor mov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838200</xdr:colOff>
                <xdr:row>1</xdr:row>
                <xdr:rowOff>123825</xdr:rowOff>
              </to>
            </anchor>
          </controlPr>
        </control>
      </mc:Choice>
      <mc:Fallback>
        <control shapeId="2049" r:id="rId3" name="cmd판매현황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2023-10-06T05:56:13Z</cp:lastPrinted>
  <dcterms:created xsi:type="dcterms:W3CDTF">2023-05-12T01:27:33Z</dcterms:created>
  <dcterms:modified xsi:type="dcterms:W3CDTF">2023-10-16T10:15:57Z</dcterms:modified>
</cp:coreProperties>
</file>