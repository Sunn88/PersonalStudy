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5FF345B0-F15A-4B17-BFEE-7B04C83F8C32}" xr6:coauthVersionLast="47" xr6:coauthVersionMax="47" xr10:uidLastSave="{00000000-0000-0000-0000-000000000000}"/>
  <bookViews>
    <workbookView xWindow="975" yWindow="1035" windowWidth="19725" windowHeight="14175" firstSheet="2" activeTab="7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상반기" sheetId="9" r:id="rId5"/>
    <sheet name="하반기" sheetId="10" r:id="rId6"/>
    <sheet name="분석작업-2" sheetId="4" r:id="rId7"/>
    <sheet name="기타작업-1" sheetId="5" r:id="rId8"/>
    <sheet name="기타작업-2" sheetId="6" r:id="rId9"/>
    <sheet name="기타작업-3" sheetId="7" r:id="rId10"/>
  </sheets>
  <definedNames>
    <definedName name="_xlnm._FilterDatabase" localSheetId="0" hidden="1">'기본작업-1'!$B$2:$D$21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8" l="1"/>
  <c r="E4" i="8"/>
  <c r="E5" i="8"/>
  <c r="E6" i="8"/>
  <c r="E7" i="8"/>
  <c r="E8" i="8"/>
  <c r="E9" i="8"/>
  <c r="E10" i="8"/>
  <c r="E11" i="8"/>
  <c r="E12" i="8"/>
</calcChain>
</file>

<file path=xl/sharedStrings.xml><?xml version="1.0" encoding="utf-8"?>
<sst xmlns="http://schemas.openxmlformats.org/spreadsheetml/2006/main" count="242" uniqueCount="131">
  <si>
    <t>종목코드</t>
  </si>
  <si>
    <t>종목명</t>
  </si>
  <si>
    <t>현재가</t>
  </si>
  <si>
    <t>A000235</t>
  </si>
  <si>
    <t xml:space="preserve"> 대림산업</t>
  </si>
  <si>
    <t>A004730</t>
  </si>
  <si>
    <t>코오롱</t>
  </si>
  <si>
    <t>A034930</t>
  </si>
  <si>
    <t xml:space="preserve"> 안철수연구소</t>
  </si>
  <si>
    <t>제품 판매 현황</t>
  </si>
  <si>
    <t>구분</t>
  </si>
  <si>
    <t>제품명</t>
  </si>
  <si>
    <t>판매가</t>
  </si>
  <si>
    <t>판매량</t>
  </si>
  <si>
    <t>판매총액</t>
  </si>
  <si>
    <t>미술</t>
  </si>
  <si>
    <t>붓</t>
  </si>
  <si>
    <t>음악</t>
  </si>
  <si>
    <t>멜로디언</t>
  </si>
  <si>
    <t>체육</t>
  </si>
  <si>
    <t>훌라후프</t>
  </si>
  <si>
    <t>탬버린</t>
  </si>
  <si>
    <t>파스텔</t>
  </si>
  <si>
    <t>축구공</t>
  </si>
  <si>
    <t>리코더</t>
  </si>
  <si>
    <t>줄넘기</t>
  </si>
  <si>
    <t>물감</t>
  </si>
  <si>
    <t>미술용품 판매총액 합계</t>
  </si>
  <si>
    <t>[표1]</t>
  </si>
  <si>
    <t>공과대학 성적</t>
  </si>
  <si>
    <t>이름</t>
  </si>
  <si>
    <t>학과</t>
  </si>
  <si>
    <t>중간</t>
  </si>
  <si>
    <t>기말</t>
  </si>
  <si>
    <t>과제</t>
  </si>
  <si>
    <t>가중평균</t>
  </si>
  <si>
    <t>평점</t>
  </si>
  <si>
    <t>임은교</t>
  </si>
  <si>
    <t>기계공학과</t>
  </si>
  <si>
    <t>이동주</t>
  </si>
  <si>
    <t>건축학과</t>
  </si>
  <si>
    <t>김종진</t>
  </si>
  <si>
    <t>토목과</t>
  </si>
  <si>
    <t>김미정</t>
  </si>
  <si>
    <t>김유숙</t>
  </si>
  <si>
    <t>이은성</t>
  </si>
  <si>
    <t>김진수</t>
  </si>
  <si>
    <t>이승선</t>
  </si>
  <si>
    <t>반영비율</t>
  </si>
  <si>
    <t>[표2]</t>
  </si>
  <si>
    <t>평점 관리표</t>
  </si>
  <si>
    <t>D</t>
  </si>
  <si>
    <t>C</t>
  </si>
  <si>
    <t>B</t>
  </si>
  <si>
    <t>A</t>
  </si>
  <si>
    <t>A+</t>
  </si>
  <si>
    <t>[표3]</t>
  </si>
  <si>
    <t>차종에 따른 판매 현황</t>
  </si>
  <si>
    <t>대리점</t>
  </si>
  <si>
    <t>차종</t>
  </si>
  <si>
    <t>상반기 판매량</t>
  </si>
  <si>
    <t>상반기판매액</t>
  </si>
  <si>
    <t>하반기 판매량</t>
  </si>
  <si>
    <t>하반기판매액</t>
  </si>
  <si>
    <t>총판매액</t>
  </si>
  <si>
    <t>동부</t>
  </si>
  <si>
    <t>누비라</t>
  </si>
  <si>
    <t>그랜저</t>
  </si>
  <si>
    <t>북부</t>
  </si>
  <si>
    <t>강남</t>
  </si>
  <si>
    <t>서부</t>
  </si>
  <si>
    <t>코란도</t>
  </si>
  <si>
    <t>판매액</t>
  </si>
  <si>
    <t>냉장고</t>
  </si>
  <si>
    <t>청소기</t>
  </si>
  <si>
    <t>VTR</t>
  </si>
  <si>
    <t>상반기 가전제품 판매현황</t>
    <phoneticPr fontId="1" type="noConversion"/>
  </si>
  <si>
    <t>지점코드</t>
    <phoneticPr fontId="1" type="noConversion"/>
  </si>
  <si>
    <t>MK21</t>
    <phoneticPr fontId="1" type="noConversion"/>
  </si>
  <si>
    <t>MK20</t>
    <phoneticPr fontId="1" type="noConversion"/>
  </si>
  <si>
    <t>KM54</t>
    <phoneticPr fontId="1" type="noConversion"/>
  </si>
  <si>
    <t>CK53</t>
    <phoneticPr fontId="1" type="noConversion"/>
  </si>
  <si>
    <t>CK23</t>
    <phoneticPr fontId="1" type="noConversion"/>
  </si>
  <si>
    <t>KM95</t>
    <phoneticPr fontId="1" type="noConversion"/>
  </si>
  <si>
    <t>하반기 가전제품 판매현황</t>
    <phoneticPr fontId="1" type="noConversion"/>
  </si>
  <si>
    <t>상반기/하반기 가전제품 판매현황</t>
    <phoneticPr fontId="1" type="noConversion"/>
  </si>
  <si>
    <t>판매원별 판매 현황</t>
  </si>
  <si>
    <t>품목</t>
  </si>
  <si>
    <t>판매원</t>
  </si>
  <si>
    <t>판매일자</t>
  </si>
  <si>
    <t>구매자수</t>
  </si>
  <si>
    <t>문구류</t>
  </si>
  <si>
    <t>강석현</t>
  </si>
  <si>
    <t>프린터소모품</t>
  </si>
  <si>
    <t>나하연</t>
  </si>
  <si>
    <t>OHP필름</t>
  </si>
  <si>
    <t>배한석</t>
  </si>
  <si>
    <t>건전지</t>
  </si>
  <si>
    <t>견고한</t>
  </si>
  <si>
    <t>모한나</t>
  </si>
  <si>
    <t>길나무</t>
  </si>
  <si>
    <t>이동수</t>
  </si>
  <si>
    <t>누구나</t>
  </si>
  <si>
    <t>강남점</t>
  </si>
  <si>
    <t>마우스</t>
  </si>
  <si>
    <t>키보드</t>
  </si>
  <si>
    <t>헤드폰</t>
  </si>
  <si>
    <t>마포점</t>
  </si>
  <si>
    <t>외장하드</t>
  </si>
  <si>
    <t>노원점</t>
  </si>
  <si>
    <t>스피커</t>
  </si>
  <si>
    <t>순이익</t>
    <phoneticPr fontId="1" type="noConversion"/>
  </si>
  <si>
    <t>재고없음</t>
    <phoneticPr fontId="1" type="noConversion"/>
  </si>
  <si>
    <t>매출 관리</t>
  </si>
  <si>
    <t>[참조표]</t>
  </si>
  <si>
    <t>수량</t>
  </si>
  <si>
    <t>단가</t>
  </si>
  <si>
    <t>영업담당</t>
  </si>
  <si>
    <t>컴퓨터</t>
  </si>
  <si>
    <t>김을동</t>
  </si>
  <si>
    <t>홈시어터</t>
  </si>
  <si>
    <t>홍길동</t>
  </si>
  <si>
    <t>이한나</t>
  </si>
  <si>
    <t>세탁기</t>
  </si>
  <si>
    <t>염정희</t>
  </si>
  <si>
    <t>학과별순위</t>
    <phoneticPr fontId="1" type="noConversion"/>
  </si>
  <si>
    <t>A034930</t>
    <phoneticPr fontId="1" type="noConversion"/>
  </si>
  <si>
    <t xml:space="preserve"> 안철수연구소</t>
    <phoneticPr fontId="1" type="noConversion"/>
  </si>
  <si>
    <t>길벗연구소</t>
    <phoneticPr fontId="1" type="noConversion"/>
  </si>
  <si>
    <t xml:space="preserve"> 길벗연구소</t>
    <phoneticPr fontId="1" type="noConversion"/>
  </si>
  <si>
    <t>A034989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</si>
</sst>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);[Red]\(#,##0\)"/>
    <numFmt numFmtId="177" formatCode="mm&quot;월&quot;\ dd&quot;일&quot;"/>
    <numFmt numFmtId="178" formatCode="#,##0_ 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/>
  </cellStyleXfs>
  <cellXfs count="3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1" fontId="0" fillId="0" borderId="6" xfId="1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9" xfId="1" applyFont="1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1" fontId="0" fillId="0" borderId="12" xfId="1" applyFont="1" applyBorder="1">
      <alignment vertical="center"/>
    </xf>
    <xf numFmtId="41" fontId="0" fillId="0" borderId="8" xfId="1" applyFont="1" applyBorder="1" applyProtection="1">
      <alignment vertical="center"/>
    </xf>
    <xf numFmtId="41" fontId="0" fillId="0" borderId="8" xfId="1" applyFont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0" borderId="8" xfId="0" applyBorder="1">
      <alignment vertical="center"/>
    </xf>
    <xf numFmtId="9" fontId="0" fillId="0" borderId="8" xfId="2" applyFont="1" applyBorder="1">
      <alignment vertical="center"/>
    </xf>
    <xf numFmtId="176" fontId="0" fillId="0" borderId="8" xfId="0" applyNumberFormat="1" applyBorder="1">
      <alignment vertical="center"/>
    </xf>
    <xf numFmtId="177" fontId="0" fillId="0" borderId="8" xfId="0" applyNumberFormat="1" applyBorder="1">
      <alignment vertical="center"/>
    </xf>
    <xf numFmtId="0" fontId="4" fillId="0" borderId="0" xfId="0" applyFont="1">
      <alignment vertical="center"/>
    </xf>
    <xf numFmtId="178" fontId="0" fillId="0" borderId="8" xfId="0" applyNumberFormat="1" applyBorder="1" applyAlignment="1">
      <alignment horizontal="right" vertical="center"/>
    </xf>
    <xf numFmtId="0" fontId="0" fillId="0" borderId="8" xfId="1" applyNumberFormat="1" applyFont="1" applyBorder="1" applyAlignment="1">
      <alignment horizontal="right"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3" applyFont="1"/>
    <xf numFmtId="3" fontId="8" fillId="0" borderId="0" xfId="3" applyNumberFormat="1" applyFont="1"/>
    <xf numFmtId="41" fontId="0" fillId="0" borderId="0" xfId="1" applyFont="1">
      <alignment vertical="center"/>
    </xf>
    <xf numFmtId="0" fontId="3" fillId="0" borderId="0" xfId="0" applyFont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CF3B5FDD-78B8-4DFD-B3E5-2E767F00BC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ysClr val="windowText" lastClr="000000"/>
                </a:solidFill>
              </a:rPr>
              <a:t>미술</a:t>
            </a:r>
            <a:r>
              <a:rPr lang="en-US" altLang="ko-KR" b="1">
                <a:solidFill>
                  <a:sysClr val="windowText" lastClr="000000"/>
                </a:solidFill>
              </a:rPr>
              <a:t>/</a:t>
            </a:r>
            <a:r>
              <a:rPr lang="ko-KR" altLang="en-US" b="1">
                <a:solidFill>
                  <a:sysClr val="windowText" lastClr="000000"/>
                </a:solidFill>
              </a:rPr>
              <a:t>음악 관련 제품의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'기본작업-2'!$E$2</c:f>
              <c:strCache>
                <c:ptCount val="1"/>
                <c:pt idx="0">
                  <c:v>판매총액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('기본작업-2'!$B$3:$B$4,'기본작업-2'!$B$6:$B$7,'기본작업-2'!$B$9,'기본작업-2'!$B$11)</c:f>
              <c:strCache>
                <c:ptCount val="6"/>
                <c:pt idx="0">
                  <c:v>붓</c:v>
                </c:pt>
                <c:pt idx="1">
                  <c:v>멜로디언</c:v>
                </c:pt>
                <c:pt idx="2">
                  <c:v>탬버린</c:v>
                </c:pt>
                <c:pt idx="3">
                  <c:v>파스텔</c:v>
                </c:pt>
                <c:pt idx="4">
                  <c:v>리코더</c:v>
                </c:pt>
                <c:pt idx="5">
                  <c:v>물감</c:v>
                </c:pt>
              </c:strCache>
            </c:strRef>
          </c:cat>
          <c:val>
            <c:numRef>
              <c:f>('기본작업-2'!$E$3:$E$4,'기본작업-2'!$E$6:$E$7,'기본작업-2'!$E$9,'기본작업-2'!$E$11)</c:f>
              <c:numCache>
                <c:formatCode>_(* #,##0_);_(* \(#,##0\);_(* "-"_);_(@_)</c:formatCode>
                <c:ptCount val="6"/>
                <c:pt idx="0">
                  <c:v>173600</c:v>
                </c:pt>
                <c:pt idx="1">
                  <c:v>436800</c:v>
                </c:pt>
                <c:pt idx="2">
                  <c:v>364000</c:v>
                </c:pt>
                <c:pt idx="3">
                  <c:v>312000</c:v>
                </c:pt>
                <c:pt idx="4">
                  <c:v>224100</c:v>
                </c:pt>
                <c:pt idx="5">
                  <c:v>283500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4-4A31-BF1A-C99B52C06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738752"/>
        <c:axId val="1924741152"/>
      </c:lineChart>
      <c:catAx>
        <c:axId val="19247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4741152"/>
        <c:crosses val="autoZero"/>
        <c:auto val="1"/>
        <c:lblAlgn val="ctr"/>
        <c:lblOffset val="100"/>
        <c:noMultiLvlLbl val="0"/>
      </c:catAx>
      <c:valAx>
        <c:axId val="192474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4738752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판매액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'기타작업-1'!$B$4:$B$11</c:f>
              <c:strCache>
                <c:ptCount val="8"/>
                <c:pt idx="0">
                  <c:v>강석현</c:v>
                </c:pt>
                <c:pt idx="1">
                  <c:v>나하연</c:v>
                </c:pt>
                <c:pt idx="2">
                  <c:v>배한석</c:v>
                </c:pt>
                <c:pt idx="3">
                  <c:v>견고한</c:v>
                </c:pt>
                <c:pt idx="4">
                  <c:v>모한나</c:v>
                </c:pt>
                <c:pt idx="5">
                  <c:v>길나무</c:v>
                </c:pt>
                <c:pt idx="6">
                  <c:v>이동수</c:v>
                </c:pt>
                <c:pt idx="7">
                  <c:v>누구나</c:v>
                </c:pt>
              </c:strCache>
            </c:strRef>
          </c:cat>
          <c:val>
            <c:numRef>
              <c:f>'기타작업-1'!$C$4:$C$11</c:f>
              <c:numCache>
                <c:formatCode>#,##0_);[Red]\(#,##0\)</c:formatCode>
                <c:ptCount val="8"/>
                <c:pt idx="0">
                  <c:v>356000</c:v>
                </c:pt>
                <c:pt idx="1">
                  <c:v>173000</c:v>
                </c:pt>
                <c:pt idx="2">
                  <c:v>498000</c:v>
                </c:pt>
                <c:pt idx="3">
                  <c:v>87000</c:v>
                </c:pt>
                <c:pt idx="4">
                  <c:v>1530000</c:v>
                </c:pt>
                <c:pt idx="5">
                  <c:v>1837000</c:v>
                </c:pt>
                <c:pt idx="6">
                  <c:v>732000</c:v>
                </c:pt>
                <c:pt idx="7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F-4A5A-9C53-D84767B849EE}"/>
            </c:ext>
          </c:extLst>
        </c:ser>
        <c:ser>
          <c:idx val="1"/>
          <c:order val="1"/>
          <c:tx>
            <c:strRef>
              <c:f>'기타작업-1'!$E$3</c:f>
              <c:strCache>
                <c:ptCount val="1"/>
                <c:pt idx="0">
                  <c:v>구매자수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'기타작업-1'!$B$4:$B$11</c:f>
              <c:strCache>
                <c:ptCount val="8"/>
                <c:pt idx="0">
                  <c:v>강석현</c:v>
                </c:pt>
                <c:pt idx="1">
                  <c:v>나하연</c:v>
                </c:pt>
                <c:pt idx="2">
                  <c:v>배한석</c:v>
                </c:pt>
                <c:pt idx="3">
                  <c:v>견고한</c:v>
                </c:pt>
                <c:pt idx="4">
                  <c:v>모한나</c:v>
                </c:pt>
                <c:pt idx="5">
                  <c:v>길나무</c:v>
                </c:pt>
                <c:pt idx="6">
                  <c:v>이동수</c:v>
                </c:pt>
                <c:pt idx="7">
                  <c:v>누구나</c:v>
                </c:pt>
              </c:strCache>
            </c:strRef>
          </c:cat>
          <c:val>
            <c:numRef>
              <c:f>'기타작업-1'!$E$4:$E$11</c:f>
              <c:numCache>
                <c:formatCode>General</c:formatCode>
                <c:ptCount val="8"/>
                <c:pt idx="0">
                  <c:v>23</c:v>
                </c:pt>
                <c:pt idx="1">
                  <c:v>12</c:v>
                </c:pt>
                <c:pt idx="2">
                  <c:v>28</c:v>
                </c:pt>
                <c:pt idx="3">
                  <c:v>18</c:v>
                </c:pt>
                <c:pt idx="4">
                  <c:v>95</c:v>
                </c:pt>
                <c:pt idx="5">
                  <c:v>78</c:v>
                </c:pt>
                <c:pt idx="6">
                  <c:v>42</c:v>
                </c:pt>
                <c:pt idx="7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F-4A5A-9C53-D84767B84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5933424"/>
        <c:axId val="1985941104"/>
      </c:barChart>
      <c:catAx>
        <c:axId val="198593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5941104"/>
        <c:crosses val="autoZero"/>
        <c:auto val="1"/>
        <c:lblAlgn val="ctr"/>
        <c:lblOffset val="100"/>
        <c:noMultiLvlLbl val="0"/>
      </c:catAx>
      <c:valAx>
        <c:axId val="1985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 b="1">
                    <a:solidFill>
                      <a:sysClr val="windowText" lastClr="000000"/>
                    </a:solidFill>
                  </a:rPr>
                  <a:t>판매액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5933424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0</xdr:row>
      <xdr:rowOff>101600</xdr:rowOff>
    </xdr:from>
    <xdr:to>
      <xdr:col>12</xdr:col>
      <xdr:colOff>0</xdr:colOff>
      <xdr:row>14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628650</xdr:colOff>
          <xdr:row>1</xdr:row>
          <xdr:rowOff>85725</xdr:rowOff>
        </xdr:to>
        <xdr:sp macro="" textlink="">
          <xdr:nvSpPr>
            <xdr:cNvPr id="3073" name="cmd매출현황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1:D21"/>
  <sheetViews>
    <sheetView workbookViewId="0"/>
  </sheetViews>
  <sheetFormatPr defaultRowHeight="16.5"/>
  <cols>
    <col min="1" max="1" width="5.625" customWidth="1"/>
    <col min="2" max="2" width="10.875" customWidth="1"/>
    <col min="3" max="3" width="13.75" bestFit="1" customWidth="1"/>
    <col min="4" max="4" width="12.875" customWidth="1"/>
  </cols>
  <sheetData>
    <row r="1" spans="2:4" ht="17.25" thickBot="1"/>
    <row r="2" spans="2:4" ht="17.25" thickBot="1">
      <c r="B2" s="1" t="s">
        <v>0</v>
      </c>
      <c r="C2" s="2" t="s">
        <v>1</v>
      </c>
      <c r="D2" s="3" t="s">
        <v>2</v>
      </c>
    </row>
    <row r="3" spans="2:4" ht="17.25" thickTop="1">
      <c r="B3" s="4" t="s">
        <v>3</v>
      </c>
      <c r="C3" s="5" t="s">
        <v>4</v>
      </c>
      <c r="D3" s="6">
        <v>52700</v>
      </c>
    </row>
    <row r="4" spans="2:4">
      <c r="B4" s="7" t="s">
        <v>3</v>
      </c>
      <c r="C4" s="8" t="s">
        <v>4</v>
      </c>
      <c r="D4" s="9">
        <v>12450</v>
      </c>
    </row>
    <row r="5" spans="2:4">
      <c r="B5" s="7" t="s">
        <v>5</v>
      </c>
      <c r="C5" s="8" t="s">
        <v>6</v>
      </c>
      <c r="D5" s="9">
        <v>22000</v>
      </c>
    </row>
    <row r="6" spans="2:4">
      <c r="B6" s="7" t="s">
        <v>3</v>
      </c>
      <c r="C6" s="8" t="s">
        <v>4</v>
      </c>
      <c r="D6" s="9">
        <v>22000</v>
      </c>
    </row>
    <row r="7" spans="2:4">
      <c r="B7" s="7" t="s">
        <v>126</v>
      </c>
      <c r="C7" s="8" t="s">
        <v>127</v>
      </c>
      <c r="D7" s="9">
        <v>14200</v>
      </c>
    </row>
    <row r="8" spans="2:4">
      <c r="B8" s="7" t="s">
        <v>5</v>
      </c>
      <c r="C8" s="8" t="s">
        <v>6</v>
      </c>
      <c r="D8" s="9">
        <v>6600</v>
      </c>
    </row>
    <row r="9" spans="2:4">
      <c r="B9" s="7" t="s">
        <v>7</v>
      </c>
      <c r="C9" s="8" t="s">
        <v>127</v>
      </c>
      <c r="D9" s="9">
        <v>86700</v>
      </c>
    </row>
    <row r="10" spans="2:4">
      <c r="B10" s="7" t="s">
        <v>3</v>
      </c>
      <c r="C10" s="8" t="s">
        <v>4</v>
      </c>
      <c r="D10" s="9">
        <v>310000</v>
      </c>
    </row>
    <row r="11" spans="2:4">
      <c r="B11" s="7" t="s">
        <v>5</v>
      </c>
      <c r="C11" s="8" t="s">
        <v>6</v>
      </c>
      <c r="D11" s="9">
        <v>388500</v>
      </c>
    </row>
    <row r="12" spans="2:4">
      <c r="B12" s="7" t="s">
        <v>130</v>
      </c>
      <c r="C12" s="8" t="s">
        <v>128</v>
      </c>
      <c r="D12" s="9">
        <v>46950</v>
      </c>
    </row>
    <row r="13" spans="2:4">
      <c r="B13" s="7" t="s">
        <v>5</v>
      </c>
      <c r="C13" s="8" t="s">
        <v>6</v>
      </c>
      <c r="D13" s="9">
        <v>30050</v>
      </c>
    </row>
    <row r="14" spans="2:4">
      <c r="B14" s="7" t="s">
        <v>7</v>
      </c>
      <c r="C14" s="8" t="s">
        <v>8</v>
      </c>
      <c r="D14" s="9">
        <v>5430</v>
      </c>
    </row>
    <row r="15" spans="2:4">
      <c r="B15" s="7" t="s">
        <v>5</v>
      </c>
      <c r="C15" s="8" t="s">
        <v>6</v>
      </c>
      <c r="D15" s="9">
        <v>68200</v>
      </c>
    </row>
    <row r="16" spans="2:4">
      <c r="B16" s="7" t="s">
        <v>7</v>
      </c>
      <c r="C16" s="8" t="s">
        <v>8</v>
      </c>
      <c r="D16" s="9">
        <v>33250</v>
      </c>
    </row>
    <row r="17" spans="2:4">
      <c r="B17" s="7" t="s">
        <v>3</v>
      </c>
      <c r="C17" s="8" t="s">
        <v>4</v>
      </c>
      <c r="D17" s="9">
        <v>305500</v>
      </c>
    </row>
    <row r="18" spans="2:4">
      <c r="B18" s="7" t="s">
        <v>5</v>
      </c>
      <c r="C18" s="8" t="s">
        <v>6</v>
      </c>
      <c r="D18" s="9">
        <v>51400</v>
      </c>
    </row>
    <row r="19" spans="2:4">
      <c r="B19" s="7" t="s">
        <v>3</v>
      </c>
      <c r="C19" s="8" t="s">
        <v>4</v>
      </c>
      <c r="D19" s="9">
        <v>17100</v>
      </c>
    </row>
    <row r="20" spans="2:4">
      <c r="B20" s="7" t="s">
        <v>130</v>
      </c>
      <c r="C20" s="8" t="s">
        <v>129</v>
      </c>
      <c r="D20" s="9">
        <v>45000</v>
      </c>
    </row>
    <row r="21" spans="2:4" ht="17.25" thickBot="1">
      <c r="B21" s="10" t="s">
        <v>5</v>
      </c>
      <c r="C21" s="11" t="s">
        <v>6</v>
      </c>
      <c r="D21" s="12">
        <v>17950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B76FD-08FF-4F7C-9B66-EDAC7D130807}">
  <sheetPr codeName="Sheet3"/>
  <dimension ref="A1:E12"/>
  <sheetViews>
    <sheetView workbookViewId="0">
      <selection sqref="A1:E1"/>
    </sheetView>
  </sheetViews>
  <sheetFormatPr defaultRowHeight="16.5"/>
  <sheetData>
    <row r="1" spans="1:5" ht="24">
      <c r="A1" s="28" t="s">
        <v>9</v>
      </c>
      <c r="B1" s="28"/>
      <c r="C1" s="28"/>
      <c r="D1" s="28"/>
      <c r="E1" s="28"/>
    </row>
    <row r="2" spans="1:5">
      <c r="A2" s="8" t="s">
        <v>10</v>
      </c>
      <c r="B2" s="8" t="s">
        <v>11</v>
      </c>
      <c r="C2" s="8" t="s">
        <v>12</v>
      </c>
      <c r="D2" s="8" t="s">
        <v>13</v>
      </c>
      <c r="E2" s="8" t="s">
        <v>14</v>
      </c>
    </row>
    <row r="3" spans="1:5">
      <c r="A3" s="8" t="s">
        <v>15</v>
      </c>
      <c r="B3" s="8" t="s">
        <v>16</v>
      </c>
      <c r="C3" s="13">
        <v>2800</v>
      </c>
      <c r="D3" s="13">
        <v>62</v>
      </c>
      <c r="E3" s="14">
        <f t="shared" ref="E3:E11" si="0">C3*D3</f>
        <v>173600</v>
      </c>
    </row>
    <row r="4" spans="1:5">
      <c r="A4" s="8" t="s">
        <v>17</v>
      </c>
      <c r="B4" s="8" t="s">
        <v>18</v>
      </c>
      <c r="C4" s="13">
        <v>15600</v>
      </c>
      <c r="D4" s="13">
        <v>28</v>
      </c>
      <c r="E4" s="14">
        <f t="shared" si="0"/>
        <v>436800</v>
      </c>
    </row>
    <row r="5" spans="1:5">
      <c r="A5" s="8" t="s">
        <v>19</v>
      </c>
      <c r="B5" s="8" t="s">
        <v>20</v>
      </c>
      <c r="C5" s="13">
        <v>4500</v>
      </c>
      <c r="D5" s="13">
        <v>57</v>
      </c>
      <c r="E5" s="14">
        <f t="shared" si="0"/>
        <v>256500</v>
      </c>
    </row>
    <row r="6" spans="1:5">
      <c r="A6" s="8" t="s">
        <v>17</v>
      </c>
      <c r="B6" s="8" t="s">
        <v>21</v>
      </c>
      <c r="C6" s="13">
        <v>5600</v>
      </c>
      <c r="D6" s="13">
        <v>65</v>
      </c>
      <c r="E6" s="14">
        <f t="shared" si="0"/>
        <v>364000</v>
      </c>
    </row>
    <row r="7" spans="1:5">
      <c r="A7" s="8" t="s">
        <v>15</v>
      </c>
      <c r="B7" s="8" t="s">
        <v>22</v>
      </c>
      <c r="C7" s="13">
        <v>6500</v>
      </c>
      <c r="D7" s="13">
        <v>48</v>
      </c>
      <c r="E7" s="14">
        <f t="shared" si="0"/>
        <v>312000</v>
      </c>
    </row>
    <row r="8" spans="1:5">
      <c r="A8" s="8" t="s">
        <v>19</v>
      </c>
      <c r="B8" s="8" t="s">
        <v>23</v>
      </c>
      <c r="C8" s="13">
        <v>12500</v>
      </c>
      <c r="D8" s="13">
        <v>65</v>
      </c>
      <c r="E8" s="14">
        <f t="shared" si="0"/>
        <v>812500</v>
      </c>
    </row>
    <row r="9" spans="1:5">
      <c r="A9" s="8" t="s">
        <v>17</v>
      </c>
      <c r="B9" s="8" t="s">
        <v>24</v>
      </c>
      <c r="C9" s="13">
        <v>8300</v>
      </c>
      <c r="D9" s="13">
        <v>27</v>
      </c>
      <c r="E9" s="14">
        <f t="shared" si="0"/>
        <v>224100</v>
      </c>
    </row>
    <row r="10" spans="1:5">
      <c r="A10" s="8" t="s">
        <v>19</v>
      </c>
      <c r="B10" s="8" t="s">
        <v>25</v>
      </c>
      <c r="C10" s="13">
        <v>7200</v>
      </c>
      <c r="D10" s="13">
        <v>65</v>
      </c>
      <c r="E10" s="14">
        <f t="shared" si="0"/>
        <v>468000</v>
      </c>
    </row>
    <row r="11" spans="1:5">
      <c r="A11" s="8" t="s">
        <v>15</v>
      </c>
      <c r="B11" s="8" t="s">
        <v>26</v>
      </c>
      <c r="C11" s="13">
        <v>6300</v>
      </c>
      <c r="D11" s="13">
        <v>45</v>
      </c>
      <c r="E11" s="14">
        <f t="shared" si="0"/>
        <v>283500</v>
      </c>
    </row>
    <row r="12" spans="1:5">
      <c r="A12" s="29" t="s">
        <v>27</v>
      </c>
      <c r="B12" s="30"/>
      <c r="C12" s="30"/>
      <c r="D12" s="31"/>
      <c r="E12" s="14">
        <f>ROUNDUP(SUMIF(A3:A11,"미술",E3:E11),-3)</f>
        <v>770000</v>
      </c>
    </row>
  </sheetData>
  <mergeCells count="2">
    <mergeCell ref="A1:E1"/>
    <mergeCell ref="A12:D1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H35"/>
  <sheetViews>
    <sheetView workbookViewId="0"/>
  </sheetViews>
  <sheetFormatPr defaultRowHeight="16.5"/>
  <cols>
    <col min="1" max="1" width="11" bestFit="1" customWidth="1"/>
    <col min="2" max="2" width="11.375" customWidth="1"/>
    <col min="3" max="3" width="13.75" bestFit="1" customWidth="1"/>
    <col min="4" max="4" width="13" bestFit="1" customWidth="1"/>
    <col min="5" max="5" width="13.75" bestFit="1" customWidth="1"/>
    <col min="6" max="6" width="13" bestFit="1" customWidth="1"/>
    <col min="7" max="7" width="10.5" customWidth="1"/>
    <col min="8" max="8" width="13.125" customWidth="1"/>
  </cols>
  <sheetData>
    <row r="1" spans="1:8">
      <c r="A1" t="s">
        <v>28</v>
      </c>
      <c r="B1" t="s">
        <v>29</v>
      </c>
    </row>
    <row r="2" spans="1:8">
      <c r="A2" s="8" t="s">
        <v>30</v>
      </c>
      <c r="B2" s="8" t="s">
        <v>31</v>
      </c>
      <c r="C2" s="8" t="s">
        <v>32</v>
      </c>
      <c r="D2" s="8" t="s">
        <v>33</v>
      </c>
      <c r="E2" s="8" t="s">
        <v>34</v>
      </c>
      <c r="F2" s="15" t="s">
        <v>35</v>
      </c>
      <c r="G2" s="15" t="s">
        <v>36</v>
      </c>
      <c r="H2" s="15" t="s">
        <v>125</v>
      </c>
    </row>
    <row r="3" spans="1:8">
      <c r="A3" s="8" t="s">
        <v>37</v>
      </c>
      <c r="B3" s="8" t="s">
        <v>38</v>
      </c>
      <c r="C3" s="16">
        <v>85</v>
      </c>
      <c r="D3" s="16">
        <v>85</v>
      </c>
      <c r="E3" s="16">
        <v>94</v>
      </c>
      <c r="F3" s="16"/>
      <c r="G3" s="8"/>
      <c r="H3" s="16"/>
    </row>
    <row r="4" spans="1:8">
      <c r="A4" s="8" t="s">
        <v>39</v>
      </c>
      <c r="B4" s="8" t="s">
        <v>40</v>
      </c>
      <c r="C4" s="16">
        <v>95</v>
      </c>
      <c r="D4" s="16">
        <v>74</v>
      </c>
      <c r="E4" s="16">
        <v>78</v>
      </c>
      <c r="F4" s="16"/>
      <c r="G4" s="8"/>
      <c r="H4" s="16"/>
    </row>
    <row r="5" spans="1:8">
      <c r="A5" s="8" t="s">
        <v>41</v>
      </c>
      <c r="B5" s="8" t="s">
        <v>42</v>
      </c>
      <c r="C5" s="16">
        <v>95</v>
      </c>
      <c r="D5" s="16">
        <v>90</v>
      </c>
      <c r="E5" s="16">
        <v>97</v>
      </c>
      <c r="F5" s="16"/>
      <c r="G5" s="8"/>
      <c r="H5" s="16"/>
    </row>
    <row r="6" spans="1:8">
      <c r="A6" s="8" t="s">
        <v>43</v>
      </c>
      <c r="B6" s="8" t="s">
        <v>42</v>
      </c>
      <c r="C6" s="16">
        <v>100</v>
      </c>
      <c r="D6" s="16">
        <v>69</v>
      </c>
      <c r="E6" s="16">
        <v>70</v>
      </c>
      <c r="F6" s="16"/>
      <c r="G6" s="8"/>
      <c r="H6" s="16"/>
    </row>
    <row r="7" spans="1:8">
      <c r="A7" s="8" t="s">
        <v>44</v>
      </c>
      <c r="B7" s="8" t="s">
        <v>40</v>
      </c>
      <c r="C7" s="16">
        <v>65</v>
      </c>
      <c r="D7" s="16">
        <v>93</v>
      </c>
      <c r="E7" s="16">
        <v>82</v>
      </c>
      <c r="F7" s="16"/>
      <c r="G7" s="8"/>
      <c r="H7" s="16"/>
    </row>
    <row r="8" spans="1:8">
      <c r="A8" s="8" t="s">
        <v>45</v>
      </c>
      <c r="B8" s="8" t="s">
        <v>38</v>
      </c>
      <c r="C8" s="16">
        <v>95</v>
      </c>
      <c r="D8" s="16">
        <v>60</v>
      </c>
      <c r="E8" s="16">
        <v>57</v>
      </c>
      <c r="F8" s="16"/>
      <c r="G8" s="8"/>
      <c r="H8" s="16"/>
    </row>
    <row r="9" spans="1:8">
      <c r="A9" s="8" t="s">
        <v>46</v>
      </c>
      <c r="B9" s="8" t="s">
        <v>42</v>
      </c>
      <c r="C9" s="16">
        <v>100</v>
      </c>
      <c r="D9" s="16">
        <v>91</v>
      </c>
      <c r="E9" s="16">
        <v>74</v>
      </c>
      <c r="F9" s="16"/>
      <c r="G9" s="8"/>
      <c r="H9" s="16"/>
    </row>
    <row r="10" spans="1:8">
      <c r="A10" s="8" t="s">
        <v>47</v>
      </c>
      <c r="B10" s="8" t="s">
        <v>40</v>
      </c>
      <c r="C10" s="16">
        <v>90</v>
      </c>
      <c r="D10" s="16">
        <v>64</v>
      </c>
      <c r="E10" s="16">
        <v>80</v>
      </c>
      <c r="F10" s="16"/>
      <c r="G10" s="8"/>
      <c r="H10" s="16"/>
    </row>
    <row r="12" spans="1:8">
      <c r="A12" t="s">
        <v>48</v>
      </c>
      <c r="F12" t="s">
        <v>49</v>
      </c>
      <c r="G12" t="s">
        <v>50</v>
      </c>
    </row>
    <row r="13" spans="1:8">
      <c r="A13" s="8" t="s">
        <v>31</v>
      </c>
      <c r="B13" s="8" t="s">
        <v>32</v>
      </c>
      <c r="C13" s="8" t="s">
        <v>33</v>
      </c>
      <c r="D13" s="8" t="s">
        <v>34</v>
      </c>
      <c r="F13" s="8" t="s">
        <v>35</v>
      </c>
      <c r="G13" s="8" t="s">
        <v>36</v>
      </c>
    </row>
    <row r="14" spans="1:8">
      <c r="A14" s="8" t="s">
        <v>40</v>
      </c>
      <c r="B14" s="17">
        <v>0.3</v>
      </c>
      <c r="C14" s="17">
        <v>0.3</v>
      </c>
      <c r="D14" s="17">
        <v>0.4</v>
      </c>
      <c r="F14" s="8">
        <v>60</v>
      </c>
      <c r="G14" s="8" t="s">
        <v>51</v>
      </c>
    </row>
    <row r="15" spans="1:8">
      <c r="A15" s="8" t="s">
        <v>38</v>
      </c>
      <c r="B15" s="17">
        <v>0.4</v>
      </c>
      <c r="C15" s="17">
        <v>0.4</v>
      </c>
      <c r="D15" s="17">
        <v>0.3</v>
      </c>
      <c r="F15" s="8">
        <v>70</v>
      </c>
      <c r="G15" s="8" t="s">
        <v>52</v>
      </c>
    </row>
    <row r="16" spans="1:8">
      <c r="A16" s="8" t="s">
        <v>42</v>
      </c>
      <c r="B16" s="17">
        <v>0.3</v>
      </c>
      <c r="C16" s="17">
        <v>0.5</v>
      </c>
      <c r="D16" s="17">
        <v>0.2</v>
      </c>
      <c r="F16" s="8">
        <v>80</v>
      </c>
      <c r="G16" s="8" t="s">
        <v>53</v>
      </c>
    </row>
    <row r="17" spans="1:7">
      <c r="F17" s="8">
        <v>90</v>
      </c>
      <c r="G17" s="8" t="s">
        <v>54</v>
      </c>
    </row>
    <row r="18" spans="1:7">
      <c r="F18" s="8">
        <v>100</v>
      </c>
      <c r="G18" s="8" t="s">
        <v>55</v>
      </c>
    </row>
    <row r="19" spans="1:7">
      <c r="A19" t="s">
        <v>56</v>
      </c>
      <c r="B19" t="s">
        <v>57</v>
      </c>
    </row>
    <row r="20" spans="1:7">
      <c r="A20" s="8" t="s">
        <v>58</v>
      </c>
      <c r="B20" s="8" t="s">
        <v>59</v>
      </c>
      <c r="C20" s="8" t="s">
        <v>60</v>
      </c>
      <c r="D20" s="8" t="s">
        <v>61</v>
      </c>
      <c r="E20" s="8" t="s">
        <v>62</v>
      </c>
      <c r="F20" s="8" t="s">
        <v>63</v>
      </c>
      <c r="G20" s="15" t="s">
        <v>64</v>
      </c>
    </row>
    <row r="21" spans="1:7">
      <c r="A21" s="8" t="s">
        <v>65</v>
      </c>
      <c r="B21" s="8" t="s">
        <v>66</v>
      </c>
      <c r="C21" s="16">
        <v>34</v>
      </c>
      <c r="D21" s="14">
        <v>34000</v>
      </c>
      <c r="E21" s="14">
        <v>30</v>
      </c>
      <c r="F21" s="14">
        <v>30000</v>
      </c>
      <c r="G21" s="14"/>
    </row>
    <row r="22" spans="1:7">
      <c r="A22" s="8" t="s">
        <v>65</v>
      </c>
      <c r="B22" s="8" t="s">
        <v>67</v>
      </c>
      <c r="C22" s="16">
        <v>34</v>
      </c>
      <c r="D22" s="14">
        <v>61200</v>
      </c>
      <c r="E22" s="14">
        <v>78</v>
      </c>
      <c r="F22" s="14">
        <v>140400</v>
      </c>
      <c r="G22" s="14"/>
    </row>
    <row r="23" spans="1:7">
      <c r="A23" s="8" t="s">
        <v>68</v>
      </c>
      <c r="B23" s="8" t="s">
        <v>66</v>
      </c>
      <c r="C23" s="16">
        <v>68</v>
      </c>
      <c r="D23" s="14">
        <v>68000</v>
      </c>
      <c r="E23" s="14">
        <v>50</v>
      </c>
      <c r="F23" s="14">
        <v>50000</v>
      </c>
      <c r="G23" s="14"/>
    </row>
    <row r="24" spans="1:7">
      <c r="A24" s="8" t="s">
        <v>69</v>
      </c>
      <c r="B24" s="8" t="s">
        <v>66</v>
      </c>
      <c r="C24" s="16">
        <v>70</v>
      </c>
      <c r="D24" s="14">
        <v>70000</v>
      </c>
      <c r="E24" s="14">
        <v>67</v>
      </c>
      <c r="F24" s="14">
        <v>67000</v>
      </c>
      <c r="G24" s="14"/>
    </row>
    <row r="25" spans="1:7">
      <c r="A25" s="8" t="s">
        <v>70</v>
      </c>
      <c r="B25" s="8" t="s">
        <v>71</v>
      </c>
      <c r="C25" s="16">
        <v>54</v>
      </c>
      <c r="D25" s="14">
        <v>81000</v>
      </c>
      <c r="E25" s="14">
        <v>50</v>
      </c>
      <c r="F25" s="14">
        <v>75000</v>
      </c>
      <c r="G25" s="14"/>
    </row>
    <row r="26" spans="1:7">
      <c r="A26" s="8" t="s">
        <v>69</v>
      </c>
      <c r="B26" s="8" t="s">
        <v>71</v>
      </c>
      <c r="C26" s="16">
        <v>56</v>
      </c>
      <c r="D26" s="14">
        <v>84000</v>
      </c>
      <c r="E26" s="14">
        <v>67</v>
      </c>
      <c r="F26" s="14">
        <v>100500</v>
      </c>
      <c r="G26" s="14"/>
    </row>
    <row r="27" spans="1:7">
      <c r="A27" s="8" t="s">
        <v>70</v>
      </c>
      <c r="B27" s="8" t="s">
        <v>71</v>
      </c>
      <c r="C27" s="16">
        <v>56</v>
      </c>
      <c r="D27" s="14">
        <v>84000</v>
      </c>
      <c r="E27" s="14">
        <v>56</v>
      </c>
      <c r="F27" s="14">
        <v>84000</v>
      </c>
      <c r="G27" s="14"/>
    </row>
    <row r="28" spans="1:7">
      <c r="A28" s="8" t="s">
        <v>68</v>
      </c>
      <c r="B28" s="8" t="s">
        <v>66</v>
      </c>
      <c r="C28" s="16">
        <v>85</v>
      </c>
      <c r="D28" s="14">
        <v>85000</v>
      </c>
      <c r="E28" s="14">
        <v>80</v>
      </c>
      <c r="F28" s="14">
        <v>80000</v>
      </c>
      <c r="G28" s="14"/>
    </row>
    <row r="29" spans="1:7">
      <c r="A29" s="8" t="s">
        <v>70</v>
      </c>
      <c r="B29" s="8" t="s">
        <v>66</v>
      </c>
      <c r="C29" s="16">
        <v>87</v>
      </c>
      <c r="D29" s="14">
        <v>87000</v>
      </c>
      <c r="E29" s="14">
        <v>75</v>
      </c>
      <c r="F29" s="14">
        <v>75000</v>
      </c>
      <c r="G29" s="14"/>
    </row>
    <row r="31" spans="1:7">
      <c r="A31" s="8" t="s">
        <v>58</v>
      </c>
      <c r="B31" s="15" t="s">
        <v>72</v>
      </c>
    </row>
    <row r="32" spans="1:7">
      <c r="A32" s="8" t="s">
        <v>69</v>
      </c>
      <c r="B32" s="14"/>
    </row>
    <row r="33" spans="1:2">
      <c r="A33" s="8" t="s">
        <v>65</v>
      </c>
      <c r="B33" s="14"/>
    </row>
    <row r="34" spans="1:2">
      <c r="A34" s="8" t="s">
        <v>68</v>
      </c>
      <c r="B34" s="14"/>
    </row>
    <row r="35" spans="1:2">
      <c r="A35" s="8" t="s">
        <v>70</v>
      </c>
      <c r="B35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4F9C6-A053-4A60-8CE7-D022C78813C5}">
  <sheetPr codeName="Sheet6"/>
  <dimension ref="A1:D8"/>
  <sheetViews>
    <sheetView workbookViewId="0">
      <selection sqref="A1:D1"/>
    </sheetView>
  </sheetViews>
  <sheetFormatPr defaultRowHeight="16.5"/>
  <sheetData>
    <row r="1" spans="1:4">
      <c r="A1" s="32" t="s">
        <v>76</v>
      </c>
      <c r="B1" s="32"/>
      <c r="C1" s="32"/>
      <c r="D1" s="32"/>
    </row>
    <row r="2" spans="1:4">
      <c r="A2" s="8" t="s">
        <v>77</v>
      </c>
      <c r="B2" s="8" t="s">
        <v>73</v>
      </c>
      <c r="C2" s="8" t="s">
        <v>74</v>
      </c>
      <c r="D2" s="8" t="s">
        <v>75</v>
      </c>
    </row>
    <row r="3" spans="1:4">
      <c r="A3" s="8" t="s">
        <v>78</v>
      </c>
      <c r="B3" s="8">
        <v>550</v>
      </c>
      <c r="C3" s="8">
        <v>56</v>
      </c>
      <c r="D3" s="8">
        <v>340</v>
      </c>
    </row>
    <row r="4" spans="1:4">
      <c r="A4" s="8" t="s">
        <v>79</v>
      </c>
      <c r="B4" s="8">
        <v>345</v>
      </c>
      <c r="C4" s="8">
        <v>89</v>
      </c>
      <c r="D4" s="8">
        <v>110</v>
      </c>
    </row>
    <row r="5" spans="1:4">
      <c r="A5" s="8" t="s">
        <v>80</v>
      </c>
      <c r="B5" s="8">
        <v>789</v>
      </c>
      <c r="C5" s="8">
        <v>456</v>
      </c>
      <c r="D5" s="8">
        <v>70</v>
      </c>
    </row>
    <row r="6" spans="1:4">
      <c r="A6" s="8" t="s">
        <v>81</v>
      </c>
      <c r="B6" s="8">
        <v>120</v>
      </c>
      <c r="C6" s="8">
        <v>98</v>
      </c>
      <c r="D6" s="8">
        <v>20</v>
      </c>
    </row>
    <row r="7" spans="1:4">
      <c r="A7" s="8" t="s">
        <v>82</v>
      </c>
      <c r="B7" s="8">
        <v>345</v>
      </c>
      <c r="C7" s="8">
        <v>123</v>
      </c>
      <c r="D7" s="8">
        <v>98</v>
      </c>
    </row>
    <row r="8" spans="1:4">
      <c r="A8" s="8" t="s">
        <v>83</v>
      </c>
      <c r="B8" s="8">
        <v>666</v>
      </c>
      <c r="C8" s="8">
        <v>110</v>
      </c>
      <c r="D8" s="8">
        <v>89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28114-BB47-4C47-9238-66D602628BDF}">
  <sheetPr codeName="Sheet7"/>
  <dimension ref="A1:D8"/>
  <sheetViews>
    <sheetView workbookViewId="0">
      <selection sqref="A1:D1"/>
    </sheetView>
  </sheetViews>
  <sheetFormatPr defaultRowHeight="16.5"/>
  <sheetData>
    <row r="1" spans="1:4">
      <c r="A1" s="32" t="s">
        <v>84</v>
      </c>
      <c r="B1" s="32"/>
      <c r="C1" s="32"/>
      <c r="D1" s="32"/>
    </row>
    <row r="2" spans="1:4">
      <c r="A2" s="8" t="s">
        <v>77</v>
      </c>
      <c r="B2" s="8" t="s">
        <v>73</v>
      </c>
      <c r="C2" s="8" t="s">
        <v>74</v>
      </c>
      <c r="D2" s="8" t="s">
        <v>75</v>
      </c>
    </row>
    <row r="3" spans="1:4">
      <c r="A3" s="8" t="s">
        <v>78</v>
      </c>
      <c r="B3" s="8">
        <v>440</v>
      </c>
      <c r="C3" s="8">
        <v>47</v>
      </c>
      <c r="D3" s="8">
        <v>300</v>
      </c>
    </row>
    <row r="4" spans="1:4">
      <c r="A4" s="8" t="s">
        <v>79</v>
      </c>
      <c r="B4" s="8">
        <v>456</v>
      </c>
      <c r="C4" s="8">
        <v>234</v>
      </c>
      <c r="D4" s="8">
        <v>322</v>
      </c>
    </row>
    <row r="5" spans="1:4">
      <c r="A5" s="8" t="s">
        <v>80</v>
      </c>
      <c r="B5" s="8">
        <v>556</v>
      </c>
      <c r="C5" s="8">
        <v>556</v>
      </c>
      <c r="D5" s="8">
        <v>220</v>
      </c>
    </row>
    <row r="6" spans="1:4">
      <c r="A6" s="8" t="s">
        <v>81</v>
      </c>
      <c r="B6" s="8">
        <v>234</v>
      </c>
      <c r="C6" s="8">
        <v>100</v>
      </c>
      <c r="D6" s="8">
        <v>30</v>
      </c>
    </row>
    <row r="7" spans="1:4">
      <c r="A7" s="8" t="s">
        <v>82</v>
      </c>
      <c r="B7" s="8">
        <v>556</v>
      </c>
      <c r="C7" s="8">
        <v>145</v>
      </c>
      <c r="D7" s="8">
        <v>78</v>
      </c>
    </row>
    <row r="8" spans="1:4">
      <c r="A8" s="8" t="s">
        <v>83</v>
      </c>
      <c r="B8" s="8">
        <v>675</v>
      </c>
      <c r="C8" s="8">
        <v>98</v>
      </c>
      <c r="D8" s="8">
        <v>65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8"/>
  <dimension ref="A1:D8"/>
  <sheetViews>
    <sheetView workbookViewId="0">
      <selection sqref="A1:D1"/>
    </sheetView>
  </sheetViews>
  <sheetFormatPr defaultRowHeight="16.5"/>
  <cols>
    <col min="1" max="1" width="9" bestFit="1" customWidth="1"/>
    <col min="2" max="2" width="7.375" customWidth="1"/>
    <col min="3" max="4" width="9.875" customWidth="1"/>
  </cols>
  <sheetData>
    <row r="1" spans="1:4">
      <c r="A1" s="32" t="s">
        <v>85</v>
      </c>
      <c r="B1" s="32"/>
      <c r="C1" s="32"/>
      <c r="D1" s="32"/>
    </row>
    <row r="2" spans="1:4">
      <c r="A2" s="8" t="s">
        <v>77</v>
      </c>
      <c r="B2" s="8" t="s">
        <v>73</v>
      </c>
      <c r="C2" s="8" t="s">
        <v>74</v>
      </c>
      <c r="D2" s="8" t="s">
        <v>75</v>
      </c>
    </row>
    <row r="3" spans="1:4">
      <c r="A3" s="8" t="s">
        <v>78</v>
      </c>
      <c r="B3" s="8"/>
      <c r="C3" s="8"/>
      <c r="D3" s="8"/>
    </row>
    <row r="4" spans="1:4">
      <c r="A4" s="8" t="s">
        <v>79</v>
      </c>
      <c r="B4" s="8"/>
      <c r="C4" s="8"/>
      <c r="D4" s="8"/>
    </row>
    <row r="5" spans="1:4">
      <c r="A5" s="8" t="s">
        <v>80</v>
      </c>
      <c r="B5" s="8"/>
      <c r="C5" s="8"/>
      <c r="D5" s="8"/>
    </row>
    <row r="6" spans="1:4">
      <c r="A6" s="8" t="s">
        <v>81</v>
      </c>
      <c r="B6" s="8"/>
      <c r="C6" s="8"/>
      <c r="D6" s="8"/>
    </row>
    <row r="7" spans="1:4">
      <c r="A7" s="8" t="s">
        <v>82</v>
      </c>
      <c r="B7" s="8"/>
      <c r="C7" s="8"/>
      <c r="D7" s="8"/>
    </row>
    <row r="8" spans="1:4">
      <c r="A8" s="8" t="s">
        <v>83</v>
      </c>
      <c r="B8" s="8"/>
      <c r="C8" s="8"/>
      <c r="D8" s="8"/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9"/>
  <dimension ref="A1:E11"/>
  <sheetViews>
    <sheetView tabSelected="1" topLeftCell="A4" workbookViewId="0">
      <selection activeCell="H5" sqref="H5"/>
    </sheetView>
  </sheetViews>
  <sheetFormatPr defaultRowHeight="16.5"/>
  <cols>
    <col min="1" max="1" width="13" bestFit="1" customWidth="1"/>
    <col min="2" max="2" width="7.125" bestFit="1" customWidth="1"/>
    <col min="3" max="3" width="11.375" bestFit="1" customWidth="1"/>
    <col min="4" max="4" width="10.875" customWidth="1"/>
  </cols>
  <sheetData>
    <row r="1" spans="1:5" ht="20.25">
      <c r="B1" s="33" t="s">
        <v>86</v>
      </c>
      <c r="C1" s="33"/>
      <c r="D1" s="33"/>
      <c r="E1" s="33"/>
    </row>
    <row r="3" spans="1:5">
      <c r="A3" s="8" t="s">
        <v>87</v>
      </c>
      <c r="B3" s="8" t="s">
        <v>88</v>
      </c>
      <c r="C3" s="8" t="s">
        <v>72</v>
      </c>
      <c r="D3" s="8" t="s">
        <v>89</v>
      </c>
      <c r="E3" s="8" t="s">
        <v>90</v>
      </c>
    </row>
    <row r="4" spans="1:5">
      <c r="A4" s="16" t="s">
        <v>91</v>
      </c>
      <c r="B4" s="16" t="s">
        <v>92</v>
      </c>
      <c r="C4" s="18">
        <v>356000</v>
      </c>
      <c r="D4" s="19">
        <v>45071</v>
      </c>
      <c r="E4" s="16">
        <v>23</v>
      </c>
    </row>
    <row r="5" spans="1:5">
      <c r="A5" s="16" t="s">
        <v>93</v>
      </c>
      <c r="B5" s="16" t="s">
        <v>94</v>
      </c>
      <c r="C5" s="18">
        <v>173000</v>
      </c>
      <c r="D5" s="19">
        <v>45099</v>
      </c>
      <c r="E5" s="16">
        <v>12</v>
      </c>
    </row>
    <row r="6" spans="1:5">
      <c r="A6" s="16" t="s">
        <v>95</v>
      </c>
      <c r="B6" s="16" t="s">
        <v>96</v>
      </c>
      <c r="C6" s="18">
        <v>498000</v>
      </c>
      <c r="D6" s="19">
        <v>45063</v>
      </c>
      <c r="E6" s="16">
        <v>28</v>
      </c>
    </row>
    <row r="7" spans="1:5">
      <c r="A7" s="16" t="s">
        <v>97</v>
      </c>
      <c r="B7" s="16" t="s">
        <v>98</v>
      </c>
      <c r="C7" s="18">
        <v>87000</v>
      </c>
      <c r="D7" s="19">
        <v>45069</v>
      </c>
      <c r="E7" s="16">
        <v>18</v>
      </c>
    </row>
    <row r="8" spans="1:5">
      <c r="A8" s="16" t="s">
        <v>93</v>
      </c>
      <c r="B8" s="16" t="s">
        <v>99</v>
      </c>
      <c r="C8" s="18">
        <v>1530000</v>
      </c>
      <c r="D8" s="19">
        <v>45103</v>
      </c>
      <c r="E8" s="16">
        <v>95</v>
      </c>
    </row>
    <row r="9" spans="1:5">
      <c r="A9" s="16" t="s">
        <v>95</v>
      </c>
      <c r="B9" s="16" t="s">
        <v>100</v>
      </c>
      <c r="C9" s="18">
        <v>1837000</v>
      </c>
      <c r="D9" s="19">
        <v>45066</v>
      </c>
      <c r="E9" s="16">
        <v>78</v>
      </c>
    </row>
    <row r="10" spans="1:5">
      <c r="A10" s="16" t="s">
        <v>97</v>
      </c>
      <c r="B10" s="16" t="s">
        <v>101</v>
      </c>
      <c r="C10" s="18">
        <v>732000</v>
      </c>
      <c r="D10" s="19">
        <v>45058</v>
      </c>
      <c r="E10" s="16">
        <v>42</v>
      </c>
    </row>
    <row r="11" spans="1:5">
      <c r="A11" s="16" t="s">
        <v>93</v>
      </c>
      <c r="B11" s="16" t="s">
        <v>102</v>
      </c>
      <c r="C11" s="18">
        <v>500000</v>
      </c>
      <c r="D11" s="19">
        <v>45059</v>
      </c>
      <c r="E11" s="16">
        <v>58</v>
      </c>
    </row>
  </sheetData>
  <mergeCells count="1">
    <mergeCell ref="B1:E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10"/>
  <dimension ref="B2:F12"/>
  <sheetViews>
    <sheetView workbookViewId="0"/>
  </sheetViews>
  <sheetFormatPr defaultRowHeight="16.5"/>
  <cols>
    <col min="1" max="1" width="2.5" customWidth="1"/>
    <col min="2" max="2" width="8.75" customWidth="1"/>
    <col min="3" max="3" width="8.625" customWidth="1"/>
    <col min="4" max="5" width="7.75" customWidth="1"/>
    <col min="6" max="6" width="11.875" bestFit="1" customWidth="1"/>
    <col min="7" max="7" width="2.25" customWidth="1"/>
    <col min="8" max="8" width="13.5" customWidth="1"/>
  </cols>
  <sheetData>
    <row r="2" spans="2:6">
      <c r="B2" s="20" t="s">
        <v>9</v>
      </c>
    </row>
    <row r="3" spans="2:6">
      <c r="B3" s="8" t="s">
        <v>58</v>
      </c>
      <c r="C3" s="8" t="s">
        <v>11</v>
      </c>
      <c r="D3" s="8" t="s">
        <v>12</v>
      </c>
      <c r="E3" s="8" t="s">
        <v>13</v>
      </c>
      <c r="F3" s="8" t="s">
        <v>111</v>
      </c>
    </row>
    <row r="4" spans="2:6">
      <c r="B4" s="8" t="s">
        <v>103</v>
      </c>
      <c r="C4" s="8" t="s">
        <v>104</v>
      </c>
      <c r="D4" s="21">
        <v>20000</v>
      </c>
      <c r="E4" s="21">
        <v>1000</v>
      </c>
      <c r="F4" s="22" t="s">
        <v>112</v>
      </c>
    </row>
    <row r="5" spans="2:6">
      <c r="B5" s="8" t="s">
        <v>103</v>
      </c>
      <c r="C5" s="8" t="s">
        <v>105</v>
      </c>
      <c r="D5" s="21">
        <v>18000</v>
      </c>
      <c r="E5" s="21">
        <v>865</v>
      </c>
      <c r="F5" s="22">
        <v>4770000</v>
      </c>
    </row>
    <row r="6" spans="2:6">
      <c r="B6" s="8" t="s">
        <v>103</v>
      </c>
      <c r="C6" s="8" t="s">
        <v>106</v>
      </c>
      <c r="D6" s="21">
        <v>15000</v>
      </c>
      <c r="E6" s="21">
        <v>920</v>
      </c>
      <c r="F6" s="22">
        <v>4800000</v>
      </c>
    </row>
    <row r="7" spans="2:6">
      <c r="B7" s="8" t="s">
        <v>107</v>
      </c>
      <c r="C7" s="8" t="s">
        <v>104</v>
      </c>
      <c r="D7" s="21">
        <v>20000</v>
      </c>
      <c r="E7" s="21">
        <v>758</v>
      </c>
      <c r="F7" s="22">
        <v>3160000</v>
      </c>
    </row>
    <row r="8" spans="2:6">
      <c r="B8" s="8" t="s">
        <v>107</v>
      </c>
      <c r="C8" s="8" t="s">
        <v>108</v>
      </c>
      <c r="D8" s="21">
        <v>45000</v>
      </c>
      <c r="E8" s="21">
        <v>600</v>
      </c>
      <c r="F8" s="22">
        <v>0</v>
      </c>
    </row>
    <row r="9" spans="2:6">
      <c r="B9" s="8" t="s">
        <v>107</v>
      </c>
      <c r="C9" s="8" t="s">
        <v>106</v>
      </c>
      <c r="D9" s="21">
        <v>15000</v>
      </c>
      <c r="E9" s="21">
        <v>675</v>
      </c>
      <c r="F9" s="22">
        <v>1125000</v>
      </c>
    </row>
    <row r="10" spans="2:6">
      <c r="B10" s="8" t="s">
        <v>109</v>
      </c>
      <c r="C10" s="8" t="s">
        <v>104</v>
      </c>
      <c r="D10" s="21">
        <v>20000</v>
      </c>
      <c r="E10" s="21">
        <v>556</v>
      </c>
      <c r="F10" s="22">
        <v>-880000</v>
      </c>
    </row>
    <row r="11" spans="2:6">
      <c r="B11" s="8" t="s">
        <v>109</v>
      </c>
      <c r="C11" s="8" t="s">
        <v>105</v>
      </c>
      <c r="D11" s="21">
        <v>18000</v>
      </c>
      <c r="E11" s="21">
        <v>893</v>
      </c>
      <c r="F11" s="22">
        <v>5274000</v>
      </c>
    </row>
    <row r="12" spans="2:6">
      <c r="B12" s="8" t="s">
        <v>109</v>
      </c>
      <c r="C12" s="8" t="s">
        <v>110</v>
      </c>
      <c r="D12" s="21">
        <v>17500</v>
      </c>
      <c r="E12" s="21">
        <v>454</v>
      </c>
      <c r="F12" s="22">
        <v>-2555000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I8"/>
  <sheetViews>
    <sheetView workbookViewId="0">
      <selection activeCell="M33" sqref="M33"/>
    </sheetView>
  </sheetViews>
  <sheetFormatPr defaultRowHeight="16.5"/>
  <cols>
    <col min="7" max="7" width="12" customWidth="1"/>
    <col min="8" max="8" width="11.375" customWidth="1"/>
  </cols>
  <sheetData>
    <row r="1" spans="1:9" ht="20.25">
      <c r="A1" s="23" t="s">
        <v>113</v>
      </c>
    </row>
    <row r="3" spans="1:9">
      <c r="G3" t="s">
        <v>114</v>
      </c>
    </row>
    <row r="4" spans="1:9">
      <c r="A4" s="24" t="s">
        <v>11</v>
      </c>
      <c r="B4" s="24" t="s">
        <v>115</v>
      </c>
      <c r="C4" s="24" t="s">
        <v>116</v>
      </c>
      <c r="D4" s="24" t="s">
        <v>117</v>
      </c>
      <c r="E4" s="24" t="s">
        <v>72</v>
      </c>
      <c r="G4" s="24" t="s">
        <v>11</v>
      </c>
      <c r="H4" s="24" t="s">
        <v>116</v>
      </c>
      <c r="I4" s="24" t="s">
        <v>117</v>
      </c>
    </row>
    <row r="5" spans="1:9">
      <c r="A5" s="25" t="s">
        <v>118</v>
      </c>
      <c r="B5" s="26">
        <v>1</v>
      </c>
      <c r="C5" s="25">
        <v>850000</v>
      </c>
      <c r="D5" s="25" t="s">
        <v>119</v>
      </c>
      <c r="E5" s="25">
        <v>850000</v>
      </c>
      <c r="G5" t="s">
        <v>118</v>
      </c>
      <c r="H5" s="27">
        <v>850000</v>
      </c>
      <c r="I5" t="s">
        <v>119</v>
      </c>
    </row>
    <row r="6" spans="1:9">
      <c r="G6" t="s">
        <v>120</v>
      </c>
      <c r="H6" s="27">
        <v>350000</v>
      </c>
      <c r="I6" t="s">
        <v>121</v>
      </c>
    </row>
    <row r="7" spans="1:9">
      <c r="G7" t="s">
        <v>73</v>
      </c>
      <c r="H7" s="27">
        <v>700000</v>
      </c>
      <c r="I7" t="s">
        <v>122</v>
      </c>
    </row>
    <row r="8" spans="1:9">
      <c r="G8" t="s">
        <v>123</v>
      </c>
      <c r="H8" s="27">
        <v>550000</v>
      </c>
      <c r="I8" t="s">
        <v>124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매출현황">
          <controlPr defaultSize="0" autoLine="0" r:id="rId4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628650</xdr:colOff>
                <xdr:row>1</xdr:row>
                <xdr:rowOff>85725</xdr:rowOff>
              </to>
            </anchor>
          </controlPr>
        </control>
      </mc:Choice>
      <mc:Fallback>
        <control shapeId="3073" r:id="rId3" name="cmd매출현황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상반기</vt:lpstr>
      <vt:lpstr>하반기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2023-05-12T01:27:33Z</dcterms:created>
  <dcterms:modified xsi:type="dcterms:W3CDTF">2024-08-06T08:17:16Z</dcterms:modified>
</cp:coreProperties>
</file>