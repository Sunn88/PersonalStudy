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F80C6791-88C4-47E6-AE1E-D8FEE19861C9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-1" sheetId="1" r:id="rId1"/>
    <sheet name="기본작업-2" sheetId="2" r:id="rId2"/>
    <sheet name="계산작업" sheetId="3" r:id="rId3"/>
    <sheet name="분석작업-1" sheetId="8" r:id="rId4"/>
    <sheet name="분석작업-2" sheetId="4" r:id="rId5"/>
    <sheet name="기타작업-1" sheetId="5" r:id="rId6"/>
    <sheet name="기타작업-2" sheetId="6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5" l="1"/>
  <c r="E5" i="5"/>
  <c r="E6" i="5"/>
  <c r="E7" i="5"/>
  <c r="E8" i="5"/>
  <c r="D3" i="4"/>
  <c r="D4" i="4"/>
  <c r="D5" i="4"/>
  <c r="D6" i="4"/>
  <c r="D7" i="4"/>
  <c r="D8" i="4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H14" i="2"/>
  <c r="I14" i="2"/>
  <c r="H15" i="2"/>
  <c r="I15" i="2"/>
  <c r="H16" i="2"/>
  <c r="I16" i="2"/>
  <c r="H17" i="2"/>
  <c r="I17" i="2"/>
  <c r="H18" i="2"/>
  <c r="I18" i="2"/>
  <c r="H19" i="2"/>
  <c r="I19" i="2"/>
  <c r="H20" i="2"/>
  <c r="I20" i="2"/>
</calcChain>
</file>

<file path=xl/sharedStrings.xml><?xml version="1.0" encoding="utf-8"?>
<sst xmlns="http://schemas.openxmlformats.org/spreadsheetml/2006/main" count="270" uniqueCount="176">
  <si>
    <t>게임매장 매출현황</t>
  </si>
  <si>
    <t>게임명</t>
  </si>
  <si>
    <t>대상</t>
  </si>
  <si>
    <t>판매일자</t>
  </si>
  <si>
    <t>수량</t>
  </si>
  <si>
    <t>매출액</t>
  </si>
  <si>
    <t>이익금</t>
  </si>
  <si>
    <t>단풍천국</t>
  </si>
  <si>
    <t>18세</t>
  </si>
  <si>
    <t>당구</t>
  </si>
  <si>
    <t>반지의 왕자</t>
  </si>
  <si>
    <t>16세</t>
  </si>
  <si>
    <t>스타나라</t>
  </si>
  <si>
    <t>17세</t>
  </si>
  <si>
    <t>중간고사 성적표</t>
  </si>
  <si>
    <t>성명</t>
  </si>
  <si>
    <t>성별</t>
  </si>
  <si>
    <t>국어</t>
  </si>
  <si>
    <t>영어</t>
  </si>
  <si>
    <t>수학</t>
  </si>
  <si>
    <t>사회</t>
  </si>
  <si>
    <t>과학</t>
  </si>
  <si>
    <t>총점</t>
  </si>
  <si>
    <t>평균</t>
  </si>
  <si>
    <t>이해자</t>
  </si>
  <si>
    <t>여</t>
  </si>
  <si>
    <t>김용이</t>
  </si>
  <si>
    <t>남</t>
  </si>
  <si>
    <t>한둘이</t>
  </si>
  <si>
    <t>오진아</t>
  </si>
  <si>
    <t>강한율</t>
  </si>
  <si>
    <t>구민호</t>
  </si>
  <si>
    <t>임영숙</t>
  </si>
  <si>
    <t>김찬국</t>
  </si>
  <si>
    <t>최고다</t>
  </si>
  <si>
    <t>신호등</t>
  </si>
  <si>
    <t>고양신</t>
  </si>
  <si>
    <t>우동욱</t>
  </si>
  <si>
    <t>황운기</t>
  </si>
  <si>
    <t>오지영</t>
  </si>
  <si>
    <t>이태원</t>
  </si>
  <si>
    <t>조진영</t>
  </si>
  <si>
    <t>김만도</t>
  </si>
  <si>
    <t>[표1]</t>
  </si>
  <si>
    <t>[표3]</t>
  </si>
  <si>
    <t>연말 상여금 지급 현황</t>
  </si>
  <si>
    <t>단위 : 천원</t>
  </si>
  <si>
    <t>직무</t>
  </si>
  <si>
    <t>6급</t>
  </si>
  <si>
    <t>7급</t>
  </si>
  <si>
    <t>50번째 백분위수</t>
  </si>
  <si>
    <t>사원명</t>
  </si>
  <si>
    <t>직위</t>
  </si>
  <si>
    <t>기본급</t>
  </si>
  <si>
    <t>상여비율</t>
  </si>
  <si>
    <t>지급액</t>
  </si>
  <si>
    <t>간호</t>
  </si>
  <si>
    <t>신소진</t>
  </si>
  <si>
    <t>사원</t>
  </si>
  <si>
    <t>건축</t>
  </si>
  <si>
    <t>이은철</t>
  </si>
  <si>
    <t>차장</t>
  </si>
  <si>
    <t>행정</t>
  </si>
  <si>
    <t>박희천</t>
  </si>
  <si>
    <t>과장</t>
  </si>
  <si>
    <t>환경</t>
  </si>
  <si>
    <t>노수용</t>
  </si>
  <si>
    <t>조명섭</t>
  </si>
  <si>
    <t>대리</t>
  </si>
  <si>
    <t>[표2]</t>
  </si>
  <si>
    <t>인사현황</t>
  </si>
  <si>
    <t>이기수</t>
  </si>
  <si>
    <t>부장</t>
  </si>
  <si>
    <t>직급</t>
  </si>
  <si>
    <t>성   명</t>
  </si>
  <si>
    <t>소        속</t>
  </si>
  <si>
    <t>성적</t>
  </si>
  <si>
    <t>최신호</t>
  </si>
  <si>
    <t>공재룡</t>
  </si>
  <si>
    <t>위생과</t>
  </si>
  <si>
    <t>박건창</t>
  </si>
  <si>
    <t>곽배동</t>
  </si>
  <si>
    <t>교통행정과</t>
  </si>
  <si>
    <t>김재규</t>
  </si>
  <si>
    <t>김유신</t>
  </si>
  <si>
    <t>보건사업과</t>
  </si>
  <si>
    <t>총상여금</t>
  </si>
  <si>
    <t>김이길</t>
  </si>
  <si>
    <t>박경숙</t>
  </si>
  <si>
    <t>박난초</t>
  </si>
  <si>
    <t>박영미</t>
  </si>
  <si>
    <t>사회복지과</t>
  </si>
  <si>
    <t>배승우</t>
  </si>
  <si>
    <t>총무과</t>
  </si>
  <si>
    <t>백수인</t>
  </si>
  <si>
    <t>여종택</t>
  </si>
  <si>
    <t>회계과</t>
  </si>
  <si>
    <t>오장규</t>
  </si>
  <si>
    <t>우병순</t>
  </si>
  <si>
    <t>농림과</t>
  </si>
  <si>
    <t>이덕화</t>
  </si>
  <si>
    <t>징수과</t>
  </si>
  <si>
    <t>이성만</t>
  </si>
  <si>
    <t>상여금 차지율</t>
  </si>
  <si>
    <t>이순선</t>
  </si>
  <si>
    <t>민방위과</t>
  </si>
  <si>
    <t>장병철</t>
  </si>
  <si>
    <t>장성태</t>
  </si>
  <si>
    <t>장재근</t>
  </si>
  <si>
    <t>최은경</t>
  </si>
  <si>
    <t>추병선</t>
  </si>
  <si>
    <t>판매량</t>
  </si>
  <si>
    <t>2월</t>
  </si>
  <si>
    <t>3월</t>
  </si>
  <si>
    <t>4월</t>
  </si>
  <si>
    <t>5월</t>
  </si>
  <si>
    <t>6월</t>
  </si>
  <si>
    <t>[표1]</t>
    <phoneticPr fontId="1" type="noConversion"/>
  </si>
  <si>
    <t>[표2]</t>
    <phoneticPr fontId="1" type="noConversion"/>
  </si>
  <si>
    <t>생산기간</t>
    <phoneticPr fontId="9" type="noConversion"/>
  </si>
  <si>
    <t>생산량</t>
    <phoneticPr fontId="9" type="noConversion"/>
  </si>
  <si>
    <t>판매량</t>
    <phoneticPr fontId="9" type="noConversion"/>
  </si>
  <si>
    <t>판매율</t>
    <phoneticPr fontId="9" type="noConversion"/>
  </si>
  <si>
    <t>판매량</t>
    <phoneticPr fontId="10" type="noConversion"/>
  </si>
  <si>
    <t>판매율</t>
    <phoneticPr fontId="10" type="noConversion"/>
  </si>
  <si>
    <t>1월</t>
    <phoneticPr fontId="9" type="noConversion"/>
  </si>
  <si>
    <t>부산지점 판매 현황</t>
  </si>
  <si>
    <t>제품</t>
  </si>
  <si>
    <t>판매단가</t>
  </si>
  <si>
    <t>판매금액</t>
  </si>
  <si>
    <t>컴퓨터</t>
  </si>
  <si>
    <t>냉장고</t>
  </si>
  <si>
    <t>카메라</t>
  </si>
  <si>
    <t>모니터</t>
  </si>
  <si>
    <t>월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</si>
  <si>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</si>
  <si>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</si>
  <si>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</si>
  <si>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</si>
  <si>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</si>
  <si>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종목명</t>
    <phoneticPr fontId="1" type="noConversion"/>
  </si>
  <si>
    <t>종가</t>
    <phoneticPr fontId="1" type="noConversion"/>
  </si>
  <si>
    <t>전일비</t>
    <phoneticPr fontId="1" type="noConversion"/>
  </si>
  <si>
    <t>등락률(%)</t>
    <phoneticPr fontId="1" type="noConversion"/>
  </si>
  <si>
    <t>시가총액(억원)</t>
    <phoneticPr fontId="1" type="noConversion"/>
  </si>
  <si>
    <t>상장주식수</t>
    <phoneticPr fontId="1" type="noConversion"/>
  </si>
  <si>
    <t>남원물산</t>
    <phoneticPr fontId="1" type="noConversion"/>
  </si>
  <si>
    <t>한국산업</t>
    <phoneticPr fontId="1" type="noConversion"/>
  </si>
  <si>
    <t>종일제강</t>
    <phoneticPr fontId="1" type="noConversion"/>
  </si>
  <si>
    <t>성대상사</t>
    <phoneticPr fontId="1" type="noConversion"/>
  </si>
  <si>
    <t>유명반도체</t>
    <phoneticPr fontId="1" type="noConversion"/>
  </si>
  <si>
    <t>우리제약</t>
    <phoneticPr fontId="1" type="noConversion"/>
  </si>
  <si>
    <t>진흥화학</t>
    <phoneticPr fontId="1" type="noConversion"/>
  </si>
  <si>
    <t>한국제지</t>
    <phoneticPr fontId="1" type="noConversion"/>
  </si>
  <si>
    <t>신한양조</t>
    <phoneticPr fontId="1" type="noConversion"/>
  </si>
  <si>
    <t>서울전자</t>
    <phoneticPr fontId="1" type="noConversion"/>
  </si>
  <si>
    <t>일성증권</t>
    <phoneticPr fontId="1" type="noConversion"/>
  </si>
  <si>
    <t>두성전자</t>
    <phoneticPr fontId="1" type="noConversion"/>
  </si>
  <si>
    <t>불우이웃성금 송금현황</t>
  </si>
  <si>
    <t>송금자</t>
  </si>
  <si>
    <t>계좌</t>
  </si>
  <si>
    <t>금액</t>
  </si>
  <si>
    <t>김천사</t>
  </si>
  <si>
    <t>111-1234-567</t>
  </si>
  <si>
    <t>최하늘</t>
  </si>
  <si>
    <t>222-4567-890</t>
  </si>
  <si>
    <t>최도움</t>
  </si>
  <si>
    <t>333-9876-432</t>
  </si>
  <si>
    <t>박사랑</t>
  </si>
  <si>
    <t>444-1854-325</t>
  </si>
  <si>
    <t>김우상</t>
  </si>
  <si>
    <t>1254-2542-251</t>
  </si>
  <si>
    <t>김원상</t>
  </si>
  <si>
    <t>2452-2451-253</t>
  </si>
  <si>
    <t>길벗은행</t>
    <phoneticPr fontId="1" type="noConversion"/>
  </si>
  <si>
    <t>[표4] 직위별 상여금 차지율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</si>
</sst>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d&quot;일&quot;"/>
    <numFmt numFmtId="177" formatCode="0.0_);[Red]\(0.0\)"/>
    <numFmt numFmtId="178" formatCode="0.0%"/>
    <numFmt numFmtId="179" formatCode="yy&quot;-&quot;m&quot;-&quot;d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8"/>
      <name val="돋움체"/>
      <family val="3"/>
      <charset val="129"/>
    </font>
    <font>
      <sz val="8"/>
      <name val="돋움"/>
      <family val="3"/>
      <charset val="129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3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/>
    <xf numFmtId="9" fontId="6" fillId="0" borderId="0" applyFont="0" applyFill="0" applyBorder="0" applyAlignment="0" applyProtection="0"/>
    <xf numFmtId="41" fontId="6" fillId="0" borderId="0" applyFont="0" applyFill="0" applyBorder="0" applyAlignment="0" applyProtection="0"/>
  </cellStyleXfs>
  <cellXfs count="43">
    <xf numFmtId="0" fontId="0" fillId="0" borderId="0" xfId="0">
      <alignment vertical="center"/>
    </xf>
    <xf numFmtId="0" fontId="4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vertical="center"/>
    </xf>
    <xf numFmtId="41" fontId="0" fillId="0" borderId="1" xfId="1" applyFon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left" vertical="center"/>
    </xf>
    <xf numFmtId="0" fontId="7" fillId="0" borderId="5" xfId="3" applyFont="1" applyBorder="1" applyAlignment="1">
      <alignment vertical="center"/>
    </xf>
    <xf numFmtId="0" fontId="7" fillId="0" borderId="5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7" fillId="0" borderId="0" xfId="3" applyFont="1" applyAlignment="1">
      <alignment vertical="center"/>
    </xf>
    <xf numFmtId="0" fontId="8" fillId="0" borderId="1" xfId="3" applyFont="1" applyBorder="1" applyAlignment="1">
      <alignment horizontal="center" vertical="center" wrapText="1"/>
    </xf>
    <xf numFmtId="9" fontId="8" fillId="0" borderId="1" xfId="4" applyFont="1" applyBorder="1" applyAlignment="1">
      <alignment horizontal="center" vertical="center"/>
    </xf>
    <xf numFmtId="0" fontId="8" fillId="0" borderId="1" xfId="3" applyFont="1" applyBorder="1" applyAlignment="1">
      <alignment horizontal="center" vertical="center"/>
    </xf>
    <xf numFmtId="41" fontId="8" fillId="0" borderId="1" xfId="5" applyFont="1" applyBorder="1" applyAlignment="1">
      <alignment vertical="center"/>
    </xf>
    <xf numFmtId="178" fontId="8" fillId="0" borderId="1" xfId="4" applyNumberFormat="1" applyFont="1" applyFill="1" applyBorder="1" applyAlignment="1">
      <alignment horizontal="center" vertical="center"/>
    </xf>
    <xf numFmtId="41" fontId="8" fillId="0" borderId="1" xfId="5" applyFont="1" applyFill="1" applyBorder="1" applyAlignment="1">
      <alignment horizontal="center" vertical="center" wrapText="1"/>
    </xf>
    <xf numFmtId="178" fontId="8" fillId="0" borderId="1" xfId="4" applyNumberFormat="1" applyFont="1" applyBorder="1" applyAlignment="1">
      <alignment horizontal="center" vertical="center"/>
    </xf>
    <xf numFmtId="0" fontId="8" fillId="4" borderId="1" xfId="3" applyFont="1" applyFill="1" applyBorder="1" applyAlignment="1">
      <alignment horizontal="center" vertical="center"/>
    </xf>
    <xf numFmtId="41" fontId="8" fillId="4" borderId="1" xfId="5" applyFont="1" applyFill="1" applyBorder="1" applyAlignment="1">
      <alignment vertical="center"/>
    </xf>
    <xf numFmtId="178" fontId="8" fillId="4" borderId="1" xfId="4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9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41" fontId="14" fillId="0" borderId="1" xfId="1" applyFont="1" applyBorder="1">
      <alignment vertical="center"/>
    </xf>
    <xf numFmtId="3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5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41" fontId="0" fillId="0" borderId="0" xfId="1" applyFont="1">
      <alignment vertical="center"/>
    </xf>
    <xf numFmtId="0" fontId="3" fillId="0" borderId="0" xfId="0" applyFont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6">
    <cellStyle name="백분율" xfId="2" builtinId="5"/>
    <cellStyle name="백분율 2" xfId="4" xr:uid="{D34A8DDD-652D-4B6C-99F9-103595B26F42}"/>
    <cellStyle name="쉼표 [0]" xfId="1" builtinId="6"/>
    <cellStyle name="쉼표 [0] 2" xfId="5" xr:uid="{B7FA6B25-D92E-43BB-A0E5-74A2691F8974}"/>
    <cellStyle name="표준" xfId="0" builtinId="0"/>
    <cellStyle name="표준 2" xfId="3" xr:uid="{DF231A5F-E52D-4662-BC7C-2F1617CDED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'기타작업-1'!$E$4:$E$8</c:f>
              <c:numCache>
                <c:formatCode>_(* #,##0_);_(* \(#,##0\);_(* "-"_);_(@_)</c:formatCode>
                <c:ptCount val="5"/>
                <c:pt idx="0">
                  <c:v>8400</c:v>
                </c:pt>
                <c:pt idx="1">
                  <c:v>18000</c:v>
                </c:pt>
                <c:pt idx="2">
                  <c:v>3200</c:v>
                </c:pt>
                <c:pt idx="3">
                  <c:v>6300</c:v>
                </c:pt>
                <c:pt idx="4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6-4BF2-91F4-0116159DE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0247167"/>
        <c:axId val="1800685343"/>
      </c:barChart>
      <c:catAx>
        <c:axId val="1510247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0685343"/>
        <c:crosses val="autoZero"/>
        <c:auto val="1"/>
        <c:lblAlgn val="ctr"/>
        <c:lblOffset val="100"/>
        <c:noMultiLvlLbl val="0"/>
      </c:catAx>
      <c:valAx>
        <c:axId val="18006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247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0</xdr:rowOff>
    </xdr:from>
    <xdr:to>
      <xdr:col>12</xdr:col>
      <xdr:colOff>0</xdr:colOff>
      <xdr:row>5</xdr:row>
      <xdr:rowOff>47625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482600"/>
          <a:ext cx="1752600" cy="695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400"/>
            <a:t> </a:t>
          </a:r>
          <a:r>
            <a:rPr lang="ko-KR" altLang="en-US" sz="1300" b="1">
              <a:solidFill>
                <a:schemeClr val="tx1"/>
              </a:solidFill>
            </a:rPr>
            <a:t>전체 학생수 </a:t>
          </a:r>
          <a:r>
            <a:rPr lang="en-US" altLang="ko-KR" sz="1400">
              <a:solidFill>
                <a:schemeClr val="tx1"/>
              </a:solidFill>
            </a:rPr>
            <a:t>: </a:t>
          </a:r>
          <a:r>
            <a:rPr lang="en-US" altLang="ko-KR" sz="1300">
              <a:solidFill>
                <a:schemeClr val="tx1"/>
              </a:solidFill>
            </a:rPr>
            <a:t>17</a:t>
          </a:r>
          <a:r>
            <a:rPr lang="ko-KR" altLang="en-US" sz="1300">
              <a:solidFill>
                <a:schemeClr val="tx1"/>
              </a:solidFill>
            </a:rPr>
            <a:t>명</a:t>
          </a:r>
        </a:p>
        <a:p>
          <a:pPr algn="l"/>
          <a:r>
            <a:rPr lang="ko-KR" altLang="en-US" sz="1100" b="1">
              <a:solidFill>
                <a:schemeClr val="tx1"/>
              </a:solidFill>
            </a:rPr>
            <a:t> </a:t>
          </a:r>
          <a:r>
            <a:rPr lang="ko-KR" altLang="en-US" sz="1300" b="1">
              <a:solidFill>
                <a:schemeClr val="tx1"/>
              </a:solidFill>
            </a:rPr>
            <a:t>전체 평균 </a:t>
          </a:r>
          <a:r>
            <a:rPr lang="en-US" altLang="ko-KR" sz="1400">
              <a:solidFill>
                <a:schemeClr val="tx1"/>
              </a:solidFill>
            </a:rPr>
            <a:t>: </a:t>
          </a:r>
          <a:r>
            <a:rPr lang="en-US" altLang="ko-KR" sz="1300">
              <a:solidFill>
                <a:schemeClr val="tx1"/>
              </a:solidFill>
            </a:rPr>
            <a:t>82</a:t>
          </a:r>
          <a:r>
            <a:rPr lang="ko-KR" altLang="en-US" sz="1300">
              <a:solidFill>
                <a:schemeClr val="tx1"/>
              </a:solidFill>
            </a:rPr>
            <a:t>점</a:t>
          </a:r>
        </a:p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0</xdr:rowOff>
        </xdr:from>
        <xdr:to>
          <xdr:col>4</xdr:col>
          <xdr:colOff>552450</xdr:colOff>
          <xdr:row>2</xdr:row>
          <xdr:rowOff>104775</xdr:rowOff>
        </xdr:to>
        <xdr:sp macro="" textlink="">
          <xdr:nvSpPr>
            <xdr:cNvPr id="3073" name="cmd송금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F14"/>
  <sheetViews>
    <sheetView tabSelected="1" workbookViewId="0">
      <selection sqref="A1:F1"/>
    </sheetView>
  </sheetViews>
  <sheetFormatPr defaultRowHeight="16.5"/>
  <cols>
    <col min="1" max="1" width="11.625" bestFit="1" customWidth="1"/>
    <col min="3" max="3" width="11.625" customWidth="1"/>
    <col min="4" max="4" width="6.25" customWidth="1"/>
  </cols>
  <sheetData>
    <row r="1" spans="1:6" ht="20.25">
      <c r="A1" s="37" t="s">
        <v>0</v>
      </c>
      <c r="B1" s="37"/>
      <c r="C1" s="37"/>
      <c r="D1" s="37"/>
      <c r="E1" s="37"/>
      <c r="F1" s="37"/>
    </row>
    <row r="3" spans="1:6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>
      <c r="A4" t="s">
        <v>7</v>
      </c>
      <c r="B4" t="s">
        <v>8</v>
      </c>
      <c r="C4" s="2">
        <v>45152</v>
      </c>
      <c r="D4">
        <v>12</v>
      </c>
      <c r="E4">
        <v>162960</v>
      </c>
      <c r="F4">
        <v>12000</v>
      </c>
    </row>
    <row r="5" spans="1:6">
      <c r="A5" t="s">
        <v>9</v>
      </c>
      <c r="B5" t="s">
        <v>8</v>
      </c>
      <c r="C5" s="2">
        <v>45023</v>
      </c>
      <c r="D5">
        <v>11</v>
      </c>
      <c r="E5">
        <v>124058</v>
      </c>
      <c r="F5">
        <v>8000</v>
      </c>
    </row>
    <row r="6" spans="1:6">
      <c r="A6" t="s">
        <v>9</v>
      </c>
      <c r="B6" t="s">
        <v>8</v>
      </c>
      <c r="C6" s="2">
        <v>44935</v>
      </c>
      <c r="D6">
        <v>15</v>
      </c>
      <c r="E6">
        <v>169170</v>
      </c>
      <c r="F6">
        <v>56000</v>
      </c>
    </row>
    <row r="7" spans="1:6">
      <c r="A7" t="s">
        <v>10</v>
      </c>
      <c r="B7" t="s">
        <v>11</v>
      </c>
      <c r="C7" s="2">
        <v>45115</v>
      </c>
      <c r="D7">
        <v>10</v>
      </c>
      <c r="E7">
        <v>85000</v>
      </c>
      <c r="F7">
        <v>11700</v>
      </c>
    </row>
    <row r="8" spans="1:6">
      <c r="A8" t="s">
        <v>10</v>
      </c>
      <c r="B8" t="s">
        <v>11</v>
      </c>
      <c r="C8" s="2">
        <v>45086</v>
      </c>
      <c r="D8">
        <v>21</v>
      </c>
      <c r="E8">
        <v>178500</v>
      </c>
      <c r="F8">
        <v>27300</v>
      </c>
    </row>
    <row r="9" spans="1:6">
      <c r="A9" t="s">
        <v>10</v>
      </c>
      <c r="B9" t="s">
        <v>11</v>
      </c>
      <c r="C9" s="2">
        <v>45054</v>
      </c>
      <c r="D9">
        <v>25</v>
      </c>
      <c r="E9">
        <v>593000</v>
      </c>
      <c r="F9">
        <v>85700</v>
      </c>
    </row>
    <row r="10" spans="1:6">
      <c r="A10" t="s">
        <v>10</v>
      </c>
      <c r="B10" t="s">
        <v>11</v>
      </c>
      <c r="C10" s="2">
        <v>45021</v>
      </c>
      <c r="D10">
        <v>22</v>
      </c>
      <c r="E10">
        <v>187000</v>
      </c>
      <c r="F10">
        <v>39000</v>
      </c>
    </row>
    <row r="11" spans="1:6">
      <c r="A11" t="s">
        <v>10</v>
      </c>
      <c r="B11" t="s">
        <v>11</v>
      </c>
      <c r="C11" s="2">
        <v>44990</v>
      </c>
      <c r="D11">
        <v>11</v>
      </c>
      <c r="E11">
        <v>93500</v>
      </c>
      <c r="F11">
        <v>39000</v>
      </c>
    </row>
    <row r="12" spans="1:6">
      <c r="A12" t="s">
        <v>12</v>
      </c>
      <c r="B12" t="s">
        <v>13</v>
      </c>
      <c r="C12" s="2">
        <v>44989</v>
      </c>
      <c r="D12">
        <v>15</v>
      </c>
      <c r="E12">
        <v>243250</v>
      </c>
      <c r="F12">
        <v>75000</v>
      </c>
    </row>
    <row r="13" spans="1:6">
      <c r="A13" t="s">
        <v>12</v>
      </c>
      <c r="B13" t="s">
        <v>13</v>
      </c>
      <c r="C13" s="2">
        <v>44962</v>
      </c>
      <c r="D13">
        <v>20</v>
      </c>
      <c r="E13">
        <v>208500</v>
      </c>
      <c r="F13">
        <v>75000</v>
      </c>
    </row>
    <row r="14" spans="1:6">
      <c r="A14" t="s">
        <v>12</v>
      </c>
      <c r="B14" t="s">
        <v>11</v>
      </c>
      <c r="C14" s="2">
        <v>44928</v>
      </c>
      <c r="D14">
        <v>19</v>
      </c>
      <c r="E14">
        <v>660250</v>
      </c>
      <c r="F14">
        <v>19500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I20"/>
  <sheetViews>
    <sheetView workbookViewId="0">
      <selection sqref="A1:I1"/>
    </sheetView>
  </sheetViews>
  <sheetFormatPr defaultRowHeight="16.5"/>
  <sheetData>
    <row r="1" spans="1:9" ht="20.25">
      <c r="A1" s="37" t="s">
        <v>14</v>
      </c>
      <c r="B1" s="37"/>
      <c r="C1" s="37"/>
      <c r="D1" s="37"/>
      <c r="E1" s="37"/>
      <c r="F1" s="37"/>
      <c r="G1" s="37"/>
      <c r="H1" s="37"/>
      <c r="I1" s="37"/>
    </row>
    <row r="3" spans="1:9">
      <c r="A3" s="3" t="s">
        <v>15</v>
      </c>
      <c r="B3" s="3" t="s">
        <v>16</v>
      </c>
      <c r="C3" s="3" t="s">
        <v>17</v>
      </c>
      <c r="D3" s="3" t="s">
        <v>18</v>
      </c>
      <c r="E3" s="3" t="s">
        <v>19</v>
      </c>
      <c r="F3" s="3" t="s">
        <v>20</v>
      </c>
      <c r="G3" s="3" t="s">
        <v>21</v>
      </c>
      <c r="H3" s="3" t="s">
        <v>22</v>
      </c>
      <c r="I3" s="3" t="s">
        <v>23</v>
      </c>
    </row>
    <row r="4" spans="1:9">
      <c r="A4" s="4" t="s">
        <v>24</v>
      </c>
      <c r="B4" s="4" t="s">
        <v>25</v>
      </c>
      <c r="C4" s="4">
        <v>80</v>
      </c>
      <c r="D4" s="4">
        <v>78</v>
      </c>
      <c r="E4" s="4">
        <v>82</v>
      </c>
      <c r="F4" s="4">
        <v>90</v>
      </c>
      <c r="G4" s="4">
        <v>81</v>
      </c>
      <c r="H4" s="4">
        <f t="shared" ref="H4:H20" si="0">SUM(C4:G4)</f>
        <v>411</v>
      </c>
      <c r="I4" s="5">
        <f t="shared" ref="I4:I20" si="1">AVERAGE(C4:G4)</f>
        <v>82.2</v>
      </c>
    </row>
    <row r="5" spans="1:9">
      <c r="A5" s="4" t="s">
        <v>26</v>
      </c>
      <c r="B5" s="4" t="s">
        <v>27</v>
      </c>
      <c r="C5" s="4">
        <v>64</v>
      </c>
      <c r="D5" s="4">
        <v>67</v>
      </c>
      <c r="E5" s="4">
        <v>67</v>
      </c>
      <c r="F5" s="4">
        <v>81</v>
      </c>
      <c r="G5" s="4">
        <v>55</v>
      </c>
      <c r="H5" s="4">
        <f t="shared" si="0"/>
        <v>334</v>
      </c>
      <c r="I5" s="5">
        <f t="shared" si="1"/>
        <v>66.8</v>
      </c>
    </row>
    <row r="6" spans="1:9">
      <c r="A6" s="4" t="s">
        <v>28</v>
      </c>
      <c r="B6" s="4" t="s">
        <v>25</v>
      </c>
      <c r="C6" s="4">
        <v>92</v>
      </c>
      <c r="D6" s="4">
        <v>90</v>
      </c>
      <c r="E6" s="4">
        <v>94</v>
      </c>
      <c r="F6" s="4">
        <v>93</v>
      </c>
      <c r="G6" s="4">
        <v>95</v>
      </c>
      <c r="H6" s="4">
        <f t="shared" si="0"/>
        <v>464</v>
      </c>
      <c r="I6" s="5">
        <f t="shared" si="1"/>
        <v>92.8</v>
      </c>
    </row>
    <row r="7" spans="1:9">
      <c r="A7" s="4" t="s">
        <v>29</v>
      </c>
      <c r="B7" s="4" t="s">
        <v>25</v>
      </c>
      <c r="C7" s="4">
        <v>86</v>
      </c>
      <c r="D7" s="4">
        <v>84</v>
      </c>
      <c r="E7" s="4">
        <v>85</v>
      </c>
      <c r="F7" s="4">
        <v>91</v>
      </c>
      <c r="G7" s="4">
        <v>87</v>
      </c>
      <c r="H7" s="4">
        <f t="shared" si="0"/>
        <v>433</v>
      </c>
      <c r="I7" s="5">
        <f t="shared" si="1"/>
        <v>86.6</v>
      </c>
    </row>
    <row r="8" spans="1:9">
      <c r="A8" s="4" t="s">
        <v>30</v>
      </c>
      <c r="B8" s="4" t="s">
        <v>27</v>
      </c>
      <c r="C8" s="4">
        <v>81</v>
      </c>
      <c r="D8" s="4">
        <v>84</v>
      </c>
      <c r="E8" s="4">
        <v>78</v>
      </c>
      <c r="F8" s="4">
        <v>81</v>
      </c>
      <c r="G8" s="4">
        <v>90</v>
      </c>
      <c r="H8" s="4">
        <f t="shared" si="0"/>
        <v>414</v>
      </c>
      <c r="I8" s="5">
        <f t="shared" si="1"/>
        <v>82.8</v>
      </c>
    </row>
    <row r="9" spans="1:9">
      <c r="A9" s="4" t="s">
        <v>31</v>
      </c>
      <c r="B9" s="4" t="s">
        <v>27</v>
      </c>
      <c r="C9" s="4">
        <v>77</v>
      </c>
      <c r="D9" s="4">
        <v>80</v>
      </c>
      <c r="E9" s="4">
        <v>81</v>
      </c>
      <c r="F9" s="4">
        <v>83</v>
      </c>
      <c r="G9" s="4">
        <v>84</v>
      </c>
      <c r="H9" s="4">
        <f t="shared" si="0"/>
        <v>405</v>
      </c>
      <c r="I9" s="5">
        <f t="shared" si="1"/>
        <v>81</v>
      </c>
    </row>
    <row r="10" spans="1:9">
      <c r="A10" s="4" t="s">
        <v>32</v>
      </c>
      <c r="B10" s="4" t="s">
        <v>25</v>
      </c>
      <c r="C10" s="4">
        <v>95</v>
      </c>
      <c r="D10" s="4">
        <v>93</v>
      </c>
      <c r="E10" s="4">
        <v>95</v>
      </c>
      <c r="F10" s="4">
        <v>96</v>
      </c>
      <c r="G10" s="4">
        <v>97</v>
      </c>
      <c r="H10" s="4">
        <f t="shared" si="0"/>
        <v>476</v>
      </c>
      <c r="I10" s="5">
        <f t="shared" si="1"/>
        <v>95.2</v>
      </c>
    </row>
    <row r="11" spans="1:9">
      <c r="A11" s="4" t="s">
        <v>33</v>
      </c>
      <c r="B11" s="4" t="s">
        <v>27</v>
      </c>
      <c r="C11" s="4">
        <v>93</v>
      </c>
      <c r="D11" s="4">
        <v>91</v>
      </c>
      <c r="E11" s="4">
        <v>92</v>
      </c>
      <c r="F11" s="4">
        <v>94</v>
      </c>
      <c r="G11" s="4">
        <v>95</v>
      </c>
      <c r="H11" s="4">
        <f t="shared" si="0"/>
        <v>465</v>
      </c>
      <c r="I11" s="5">
        <f t="shared" si="1"/>
        <v>93</v>
      </c>
    </row>
    <row r="12" spans="1:9">
      <c r="A12" s="4" t="s">
        <v>34</v>
      </c>
      <c r="B12" s="4" t="s">
        <v>25</v>
      </c>
      <c r="C12" s="4">
        <v>61</v>
      </c>
      <c r="D12" s="4">
        <v>64</v>
      </c>
      <c r="E12" s="4">
        <v>61</v>
      </c>
      <c r="F12" s="4">
        <v>64</v>
      </c>
      <c r="G12" s="4">
        <v>63</v>
      </c>
      <c r="H12" s="4">
        <f t="shared" si="0"/>
        <v>313</v>
      </c>
      <c r="I12" s="5">
        <f t="shared" si="1"/>
        <v>62.6</v>
      </c>
    </row>
    <row r="13" spans="1:9">
      <c r="A13" s="4" t="s">
        <v>35</v>
      </c>
      <c r="B13" s="4" t="s">
        <v>27</v>
      </c>
      <c r="C13" s="4">
        <v>57</v>
      </c>
      <c r="D13" s="4">
        <v>60</v>
      </c>
      <c r="E13" s="4">
        <v>80</v>
      </c>
      <c r="F13" s="4">
        <v>64</v>
      </c>
      <c r="G13" s="4">
        <v>62</v>
      </c>
      <c r="H13" s="4">
        <f t="shared" si="0"/>
        <v>323</v>
      </c>
      <c r="I13" s="5">
        <f t="shared" si="1"/>
        <v>64.599999999999994</v>
      </c>
    </row>
    <row r="14" spans="1:9">
      <c r="A14" s="4" t="s">
        <v>36</v>
      </c>
      <c r="B14" s="4" t="s">
        <v>25</v>
      </c>
      <c r="C14" s="4">
        <v>94</v>
      </c>
      <c r="D14" s="4">
        <v>92</v>
      </c>
      <c r="E14" s="4">
        <v>94</v>
      </c>
      <c r="F14" s="4">
        <v>95</v>
      </c>
      <c r="G14" s="4">
        <v>97</v>
      </c>
      <c r="H14" s="4">
        <f t="shared" si="0"/>
        <v>472</v>
      </c>
      <c r="I14" s="5">
        <f t="shared" si="1"/>
        <v>94.4</v>
      </c>
    </row>
    <row r="15" spans="1:9">
      <c r="A15" s="4" t="s">
        <v>37</v>
      </c>
      <c r="B15" s="4" t="s">
        <v>27</v>
      </c>
      <c r="C15" s="4">
        <v>83</v>
      </c>
      <c r="D15" s="4">
        <v>86</v>
      </c>
      <c r="E15" s="4">
        <v>86</v>
      </c>
      <c r="F15" s="4">
        <v>85</v>
      </c>
      <c r="G15" s="4">
        <v>81</v>
      </c>
      <c r="H15" s="4">
        <f t="shared" si="0"/>
        <v>421</v>
      </c>
      <c r="I15" s="5">
        <f t="shared" si="1"/>
        <v>84.2</v>
      </c>
    </row>
    <row r="16" spans="1:9">
      <c r="A16" s="4" t="s">
        <v>38</v>
      </c>
      <c r="B16" s="4" t="s">
        <v>27</v>
      </c>
      <c r="C16" s="4">
        <v>75</v>
      </c>
      <c r="D16" s="4">
        <v>78</v>
      </c>
      <c r="E16" s="4">
        <v>76</v>
      </c>
      <c r="F16" s="4">
        <v>81</v>
      </c>
      <c r="G16" s="4">
        <v>75</v>
      </c>
      <c r="H16" s="4">
        <f t="shared" si="0"/>
        <v>385</v>
      </c>
      <c r="I16" s="5">
        <f t="shared" si="1"/>
        <v>77</v>
      </c>
    </row>
    <row r="17" spans="1:9">
      <c r="A17" s="4" t="s">
        <v>39</v>
      </c>
      <c r="B17" s="4" t="s">
        <v>25</v>
      </c>
      <c r="C17" s="4">
        <v>88</v>
      </c>
      <c r="D17" s="4">
        <v>86</v>
      </c>
      <c r="E17" s="4">
        <v>88</v>
      </c>
      <c r="F17" s="4">
        <v>90</v>
      </c>
      <c r="G17" s="4">
        <v>77</v>
      </c>
      <c r="H17" s="4">
        <f t="shared" si="0"/>
        <v>429</v>
      </c>
      <c r="I17" s="5">
        <f t="shared" si="1"/>
        <v>85.8</v>
      </c>
    </row>
    <row r="18" spans="1:9">
      <c r="A18" s="4" t="s">
        <v>40</v>
      </c>
      <c r="B18" s="4" t="s">
        <v>27</v>
      </c>
      <c r="C18" s="4">
        <v>99</v>
      </c>
      <c r="D18" s="4">
        <v>97</v>
      </c>
      <c r="E18" s="4">
        <v>98</v>
      </c>
      <c r="F18" s="4">
        <v>97</v>
      </c>
      <c r="G18" s="4">
        <v>99</v>
      </c>
      <c r="H18" s="4">
        <f t="shared" si="0"/>
        <v>490</v>
      </c>
      <c r="I18" s="5">
        <f t="shared" si="1"/>
        <v>98</v>
      </c>
    </row>
    <row r="19" spans="1:9">
      <c r="A19" s="4" t="s">
        <v>41</v>
      </c>
      <c r="B19" s="4" t="s">
        <v>25</v>
      </c>
      <c r="C19" s="4">
        <v>72</v>
      </c>
      <c r="D19" s="4">
        <v>75</v>
      </c>
      <c r="E19" s="4">
        <v>72</v>
      </c>
      <c r="F19" s="4">
        <v>81</v>
      </c>
      <c r="G19" s="4">
        <v>74</v>
      </c>
      <c r="H19" s="4">
        <f t="shared" si="0"/>
        <v>374</v>
      </c>
      <c r="I19" s="5">
        <f t="shared" si="1"/>
        <v>74.8</v>
      </c>
    </row>
    <row r="20" spans="1:9">
      <c r="A20" s="4" t="s">
        <v>42</v>
      </c>
      <c r="B20" s="4" t="s">
        <v>27</v>
      </c>
      <c r="C20" s="4">
        <v>69</v>
      </c>
      <c r="D20" s="4">
        <v>72</v>
      </c>
      <c r="E20" s="4">
        <v>80</v>
      </c>
      <c r="F20" s="4">
        <v>77</v>
      </c>
      <c r="G20" s="4">
        <v>65</v>
      </c>
      <c r="H20" s="4">
        <f t="shared" si="0"/>
        <v>363</v>
      </c>
      <c r="I20" s="5">
        <f t="shared" si="1"/>
        <v>72.599999999999994</v>
      </c>
    </row>
  </sheetData>
  <mergeCells count="1">
    <mergeCell ref="A1:I1"/>
  </mergeCells>
  <phoneticPr fontId="1" type="noConversion"/>
  <pageMargins left="0.7" right="0.7" top="0.75" bottom="0.75" header="0.3" footer="0.3"/>
  <pageSetup paperSize="9" orientation="landscape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1:K29"/>
  <sheetViews>
    <sheetView workbookViewId="0"/>
  </sheetViews>
  <sheetFormatPr defaultRowHeight="16.5"/>
  <cols>
    <col min="4" max="4" width="16" bestFit="1" customWidth="1"/>
    <col min="8" max="8" width="15.875" customWidth="1"/>
  </cols>
  <sheetData>
    <row r="1" spans="1:11">
      <c r="A1" t="s">
        <v>43</v>
      </c>
      <c r="G1" t="s">
        <v>44</v>
      </c>
      <c r="H1" s="1" t="s">
        <v>45</v>
      </c>
      <c r="K1" t="s">
        <v>46</v>
      </c>
    </row>
    <row r="2" spans="1:11">
      <c r="A2" s="6" t="s">
        <v>47</v>
      </c>
      <c r="B2" s="7" t="s">
        <v>48</v>
      </c>
      <c r="C2" s="7" t="s">
        <v>49</v>
      </c>
      <c r="D2" s="7" t="s">
        <v>50</v>
      </c>
      <c r="E2" s="4"/>
      <c r="G2" s="6" t="s">
        <v>51</v>
      </c>
      <c r="H2" s="6" t="s">
        <v>52</v>
      </c>
      <c r="I2" s="6" t="s">
        <v>53</v>
      </c>
      <c r="J2" s="7" t="s">
        <v>54</v>
      </c>
      <c r="K2" s="7" t="s">
        <v>55</v>
      </c>
    </row>
    <row r="3" spans="1:11">
      <c r="A3" s="6" t="s">
        <v>56</v>
      </c>
      <c r="B3" s="6"/>
      <c r="C3" s="6"/>
      <c r="D3" s="8"/>
      <c r="E3" s="4"/>
      <c r="G3" s="6" t="s">
        <v>57</v>
      </c>
      <c r="H3" s="6" t="s">
        <v>58</v>
      </c>
      <c r="I3" s="9">
        <v>1000</v>
      </c>
      <c r="J3" s="10"/>
      <c r="K3" s="11"/>
    </row>
    <row r="4" spans="1:11">
      <c r="A4" s="6" t="s">
        <v>59</v>
      </c>
      <c r="B4" s="6"/>
      <c r="C4" s="6"/>
      <c r="D4" s="8"/>
      <c r="E4" s="4"/>
      <c r="G4" s="6" t="s">
        <v>60</v>
      </c>
      <c r="H4" s="6" t="s">
        <v>61</v>
      </c>
      <c r="I4" s="9">
        <v>1500</v>
      </c>
      <c r="J4" s="10"/>
      <c r="K4" s="11"/>
    </row>
    <row r="5" spans="1:11">
      <c r="A5" s="6" t="s">
        <v>62</v>
      </c>
      <c r="B5" s="6"/>
      <c r="C5" s="6"/>
      <c r="D5" s="8"/>
      <c r="E5" s="4"/>
      <c r="G5" s="6" t="s">
        <v>63</v>
      </c>
      <c r="H5" s="6" t="s">
        <v>64</v>
      </c>
      <c r="I5" s="9">
        <v>1800</v>
      </c>
      <c r="J5" s="10"/>
      <c r="K5" s="11"/>
    </row>
    <row r="6" spans="1:11">
      <c r="A6" s="6" t="s">
        <v>65</v>
      </c>
      <c r="B6" s="6"/>
      <c r="C6" s="6"/>
      <c r="D6" s="8"/>
      <c r="E6" s="4"/>
      <c r="G6" s="6" t="s">
        <v>66</v>
      </c>
      <c r="H6" s="6" t="s">
        <v>61</v>
      </c>
      <c r="I6" s="9">
        <v>1500</v>
      </c>
      <c r="J6" s="10"/>
      <c r="K6" s="11"/>
    </row>
    <row r="7" spans="1:11">
      <c r="G7" s="6" t="s">
        <v>67</v>
      </c>
      <c r="H7" s="6" t="s">
        <v>68</v>
      </c>
      <c r="I7" s="9">
        <v>1200</v>
      </c>
      <c r="J7" s="10"/>
      <c r="K7" s="11"/>
    </row>
    <row r="8" spans="1:11">
      <c r="A8" t="s">
        <v>69</v>
      </c>
      <c r="C8" t="s">
        <v>70</v>
      </c>
      <c r="G8" s="6" t="s">
        <v>71</v>
      </c>
      <c r="H8" s="6" t="s">
        <v>72</v>
      </c>
      <c r="I8" s="9">
        <v>2100</v>
      </c>
      <c r="J8" s="10"/>
      <c r="K8" s="11"/>
    </row>
    <row r="9" spans="1:11">
      <c r="A9" s="6" t="s">
        <v>47</v>
      </c>
      <c r="B9" s="6" t="s">
        <v>73</v>
      </c>
      <c r="C9" s="12" t="s">
        <v>74</v>
      </c>
      <c r="D9" s="6" t="s">
        <v>75</v>
      </c>
      <c r="E9" s="6" t="s">
        <v>76</v>
      </c>
      <c r="G9" s="6" t="s">
        <v>77</v>
      </c>
      <c r="H9" s="6" t="s">
        <v>68</v>
      </c>
      <c r="I9" s="9">
        <v>1200</v>
      </c>
      <c r="J9" s="10"/>
      <c r="K9" s="11"/>
    </row>
    <row r="10" spans="1:11">
      <c r="A10" s="6" t="s">
        <v>65</v>
      </c>
      <c r="B10" s="6" t="s">
        <v>48</v>
      </c>
      <c r="C10" s="12" t="s">
        <v>78</v>
      </c>
      <c r="D10" s="13" t="s">
        <v>79</v>
      </c>
      <c r="E10" s="6">
        <v>77</v>
      </c>
      <c r="G10" s="6" t="s">
        <v>80</v>
      </c>
      <c r="H10" s="6" t="s">
        <v>72</v>
      </c>
      <c r="I10" s="9">
        <v>2100</v>
      </c>
      <c r="J10" s="10"/>
      <c r="K10" s="11"/>
    </row>
    <row r="11" spans="1:11">
      <c r="A11" s="6" t="s">
        <v>62</v>
      </c>
      <c r="B11" s="6" t="s">
        <v>48</v>
      </c>
      <c r="C11" s="12" t="s">
        <v>81</v>
      </c>
      <c r="D11" s="13" t="s">
        <v>82</v>
      </c>
      <c r="E11" s="6">
        <v>86</v>
      </c>
      <c r="G11" s="6" t="s">
        <v>83</v>
      </c>
      <c r="H11" s="6" t="s">
        <v>58</v>
      </c>
      <c r="I11" s="9">
        <v>1000</v>
      </c>
      <c r="J11" s="10"/>
      <c r="K11" s="11"/>
    </row>
    <row r="12" spans="1:11">
      <c r="A12" s="6" t="s">
        <v>59</v>
      </c>
      <c r="B12" s="6" t="s">
        <v>48</v>
      </c>
      <c r="C12" s="12" t="s">
        <v>84</v>
      </c>
      <c r="D12" s="13" t="s">
        <v>85</v>
      </c>
      <c r="E12" s="6">
        <v>85</v>
      </c>
      <c r="G12" s="38" t="s">
        <v>86</v>
      </c>
      <c r="H12" s="39"/>
      <c r="I12" s="40"/>
      <c r="J12" s="6">
        <v>924</v>
      </c>
    </row>
    <row r="13" spans="1:11">
      <c r="A13" s="6" t="s">
        <v>56</v>
      </c>
      <c r="B13" s="6" t="s">
        <v>48</v>
      </c>
      <c r="C13" s="12" t="s">
        <v>87</v>
      </c>
      <c r="D13" s="13" t="s">
        <v>85</v>
      </c>
      <c r="E13" s="6">
        <v>92</v>
      </c>
    </row>
    <row r="14" spans="1:11">
      <c r="A14" s="6" t="s">
        <v>56</v>
      </c>
      <c r="B14" s="6" t="s">
        <v>49</v>
      </c>
      <c r="C14" s="12" t="s">
        <v>88</v>
      </c>
      <c r="D14" s="13" t="s">
        <v>85</v>
      </c>
      <c r="E14" s="6">
        <v>95</v>
      </c>
      <c r="G14" t="s">
        <v>175</v>
      </c>
    </row>
    <row r="15" spans="1:11">
      <c r="A15" s="6" t="s">
        <v>65</v>
      </c>
      <c r="B15" s="6" t="s">
        <v>49</v>
      </c>
      <c r="C15" s="12" t="s">
        <v>89</v>
      </c>
      <c r="D15" s="13" t="s">
        <v>85</v>
      </c>
      <c r="E15" s="6">
        <v>89</v>
      </c>
      <c r="G15" s="6" t="s">
        <v>52</v>
      </c>
      <c r="H15" s="7" t="s">
        <v>103</v>
      </c>
    </row>
    <row r="16" spans="1:11">
      <c r="A16" s="6" t="s">
        <v>62</v>
      </c>
      <c r="B16" s="6" t="s">
        <v>49</v>
      </c>
      <c r="C16" s="12" t="s">
        <v>90</v>
      </c>
      <c r="D16" s="13" t="s">
        <v>91</v>
      </c>
      <c r="E16" s="6">
        <v>95</v>
      </c>
      <c r="G16" s="6" t="s">
        <v>72</v>
      </c>
      <c r="H16" s="8"/>
    </row>
    <row r="17" spans="1:8">
      <c r="A17" s="6" t="s">
        <v>59</v>
      </c>
      <c r="B17" s="6" t="s">
        <v>48</v>
      </c>
      <c r="C17" s="12" t="s">
        <v>92</v>
      </c>
      <c r="D17" s="13" t="s">
        <v>93</v>
      </c>
      <c r="E17" s="6">
        <v>98</v>
      </c>
      <c r="G17" s="6" t="s">
        <v>64</v>
      </c>
      <c r="H17" s="8"/>
    </row>
    <row r="18" spans="1:8">
      <c r="A18" s="6" t="s">
        <v>65</v>
      </c>
      <c r="B18" s="6" t="s">
        <v>49</v>
      </c>
      <c r="C18" s="12" t="s">
        <v>94</v>
      </c>
      <c r="D18" s="13" t="s">
        <v>91</v>
      </c>
      <c r="E18" s="6">
        <v>87</v>
      </c>
      <c r="G18" s="6" t="s">
        <v>61</v>
      </c>
      <c r="H18" s="8"/>
    </row>
    <row r="19" spans="1:8">
      <c r="A19" s="6" t="s">
        <v>59</v>
      </c>
      <c r="B19" s="6" t="s">
        <v>49</v>
      </c>
      <c r="C19" s="12" t="s">
        <v>95</v>
      </c>
      <c r="D19" s="13" t="s">
        <v>96</v>
      </c>
      <c r="E19" s="6">
        <v>93</v>
      </c>
      <c r="G19" s="6" t="s">
        <v>68</v>
      </c>
      <c r="H19" s="8"/>
    </row>
    <row r="20" spans="1:8">
      <c r="A20" s="6" t="s">
        <v>59</v>
      </c>
      <c r="B20" s="6" t="s">
        <v>49</v>
      </c>
      <c r="C20" s="12" t="s">
        <v>97</v>
      </c>
      <c r="D20" s="13" t="s">
        <v>85</v>
      </c>
      <c r="E20" s="6">
        <v>88</v>
      </c>
      <c r="G20" s="6" t="s">
        <v>58</v>
      </c>
      <c r="H20" s="8"/>
    </row>
    <row r="21" spans="1:8">
      <c r="A21" s="6" t="s">
        <v>59</v>
      </c>
      <c r="B21" s="6" t="s">
        <v>49</v>
      </c>
      <c r="C21" s="12" t="s">
        <v>98</v>
      </c>
      <c r="D21" s="13" t="s">
        <v>99</v>
      </c>
      <c r="E21" s="6">
        <v>69</v>
      </c>
    </row>
    <row r="22" spans="1:8">
      <c r="A22" s="6" t="s">
        <v>59</v>
      </c>
      <c r="B22" s="6" t="s">
        <v>49</v>
      </c>
      <c r="C22" s="12" t="s">
        <v>100</v>
      </c>
      <c r="D22" s="13" t="s">
        <v>101</v>
      </c>
      <c r="E22" s="6">
        <v>78</v>
      </c>
    </row>
    <row r="23" spans="1:8">
      <c r="A23" s="6" t="s">
        <v>62</v>
      </c>
      <c r="B23" s="6" t="s">
        <v>48</v>
      </c>
      <c r="C23" s="12" t="s">
        <v>102</v>
      </c>
      <c r="D23" s="13" t="s">
        <v>91</v>
      </c>
      <c r="E23" s="6">
        <v>83</v>
      </c>
    </row>
    <row r="24" spans="1:8">
      <c r="A24" s="6" t="s">
        <v>62</v>
      </c>
      <c r="B24" s="6" t="s">
        <v>49</v>
      </c>
      <c r="C24" s="12" t="s">
        <v>104</v>
      </c>
      <c r="D24" s="13" t="s">
        <v>105</v>
      </c>
      <c r="E24" s="6">
        <v>85</v>
      </c>
    </row>
    <row r="25" spans="1:8">
      <c r="A25" s="6" t="s">
        <v>62</v>
      </c>
      <c r="B25" s="6" t="s">
        <v>48</v>
      </c>
      <c r="C25" s="12" t="s">
        <v>106</v>
      </c>
      <c r="D25" s="13" t="s">
        <v>93</v>
      </c>
      <c r="E25" s="6">
        <v>78</v>
      </c>
    </row>
    <row r="26" spans="1:8">
      <c r="A26" s="6" t="s">
        <v>62</v>
      </c>
      <c r="B26" s="6" t="s">
        <v>48</v>
      </c>
      <c r="C26" s="12" t="s">
        <v>107</v>
      </c>
      <c r="D26" s="13" t="s">
        <v>93</v>
      </c>
      <c r="E26" s="6">
        <v>100</v>
      </c>
    </row>
    <row r="27" spans="1:8">
      <c r="A27" s="6" t="s">
        <v>65</v>
      </c>
      <c r="B27" s="6" t="s">
        <v>49</v>
      </c>
      <c r="C27" s="12" t="s">
        <v>108</v>
      </c>
      <c r="D27" s="13" t="s">
        <v>91</v>
      </c>
      <c r="E27" s="6">
        <v>90</v>
      </c>
    </row>
    <row r="28" spans="1:8">
      <c r="A28" s="6" t="s">
        <v>56</v>
      </c>
      <c r="B28" s="6" t="s">
        <v>49</v>
      </c>
      <c r="C28" s="12" t="s">
        <v>109</v>
      </c>
      <c r="D28" s="13" t="s">
        <v>85</v>
      </c>
      <c r="E28" s="6">
        <v>83</v>
      </c>
    </row>
    <row r="29" spans="1:8">
      <c r="A29" s="6" t="s">
        <v>56</v>
      </c>
      <c r="B29" s="6" t="s">
        <v>49</v>
      </c>
      <c r="C29" s="12" t="s">
        <v>110</v>
      </c>
      <c r="D29" s="13" t="s">
        <v>85</v>
      </c>
      <c r="E29" s="6">
        <v>79</v>
      </c>
    </row>
  </sheetData>
  <mergeCells count="1">
    <mergeCell ref="G12:I1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0563F-BC9F-4CB7-9DA6-C1E229AA3641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G10"/>
  <sheetViews>
    <sheetView workbookViewId="0"/>
  </sheetViews>
  <sheetFormatPr defaultRowHeight="16.5"/>
  <cols>
    <col min="1" max="1" width="9" customWidth="1"/>
    <col min="3" max="3" width="9" customWidth="1"/>
    <col min="5" max="5" width="3.75" customWidth="1"/>
  </cols>
  <sheetData>
    <row r="1" spans="1:7">
      <c r="A1" s="14" t="s">
        <v>117</v>
      </c>
      <c r="B1" s="15"/>
      <c r="C1" s="15"/>
      <c r="D1" s="15"/>
      <c r="E1" s="16"/>
      <c r="F1" s="17" t="s">
        <v>118</v>
      </c>
      <c r="G1" s="16"/>
    </row>
    <row r="2" spans="1:7">
      <c r="A2" s="18" t="s">
        <v>119</v>
      </c>
      <c r="B2" s="18" t="s">
        <v>120</v>
      </c>
      <c r="C2" s="18" t="s">
        <v>121</v>
      </c>
      <c r="D2" s="18" t="s">
        <v>122</v>
      </c>
      <c r="E2" s="16"/>
      <c r="F2" s="18" t="s">
        <v>123</v>
      </c>
      <c r="G2" s="19" t="s">
        <v>124</v>
      </c>
    </row>
    <row r="3" spans="1:7">
      <c r="A3" s="20" t="s">
        <v>125</v>
      </c>
      <c r="B3" s="21">
        <v>2850</v>
      </c>
      <c r="C3" s="21">
        <v>2000</v>
      </c>
      <c r="D3" s="22">
        <f t="shared" ref="D3:D8" si="0">C3/B3</f>
        <v>0.70175438596491224</v>
      </c>
      <c r="E3" s="16"/>
      <c r="F3" s="23"/>
      <c r="G3" s="24"/>
    </row>
    <row r="4" spans="1:7">
      <c r="A4" s="25" t="s">
        <v>112</v>
      </c>
      <c r="B4" s="26">
        <v>2450</v>
      </c>
      <c r="C4" s="26">
        <v>1020</v>
      </c>
      <c r="D4" s="27">
        <f t="shared" si="0"/>
        <v>0.41632653061224489</v>
      </c>
      <c r="E4" s="16"/>
      <c r="F4" s="21">
        <v>1000</v>
      </c>
      <c r="G4" s="24"/>
    </row>
    <row r="5" spans="1:7">
      <c r="A5" s="20" t="s">
        <v>113</v>
      </c>
      <c r="B5" s="21">
        <v>3128</v>
      </c>
      <c r="C5" s="21">
        <v>2500</v>
      </c>
      <c r="D5" s="22">
        <f t="shared" si="0"/>
        <v>0.79923273657289007</v>
      </c>
      <c r="E5" s="16"/>
      <c r="F5" s="21">
        <v>1200</v>
      </c>
      <c r="G5" s="24"/>
    </row>
    <row r="6" spans="1:7">
      <c r="A6" s="20" t="s">
        <v>114</v>
      </c>
      <c r="B6" s="21">
        <v>2580</v>
      </c>
      <c r="C6" s="21">
        <v>2300</v>
      </c>
      <c r="D6" s="22">
        <f t="shared" si="0"/>
        <v>0.89147286821705429</v>
      </c>
      <c r="E6" s="16"/>
      <c r="F6" s="21">
        <v>1400</v>
      </c>
      <c r="G6" s="24"/>
    </row>
    <row r="7" spans="1:7">
      <c r="A7" s="20" t="s">
        <v>115</v>
      </c>
      <c r="B7" s="21">
        <v>1780</v>
      </c>
      <c r="C7" s="21">
        <v>1280</v>
      </c>
      <c r="D7" s="22">
        <f t="shared" si="0"/>
        <v>0.7191011235955056</v>
      </c>
      <c r="E7" s="16"/>
      <c r="F7" s="21">
        <v>1600</v>
      </c>
      <c r="G7" s="24"/>
    </row>
    <row r="8" spans="1:7">
      <c r="A8" s="20" t="s">
        <v>116</v>
      </c>
      <c r="B8" s="21">
        <v>3300</v>
      </c>
      <c r="C8" s="21">
        <v>3160</v>
      </c>
      <c r="D8" s="22">
        <f t="shared" si="0"/>
        <v>0.95757575757575752</v>
      </c>
      <c r="E8" s="16"/>
      <c r="F8" s="21">
        <v>1800</v>
      </c>
      <c r="G8" s="24"/>
    </row>
    <row r="10" spans="1:7">
      <c r="A10" s="16"/>
      <c r="B10" s="16"/>
      <c r="C10" s="16"/>
      <c r="D10" s="16"/>
      <c r="E10" s="16"/>
      <c r="F10" s="16"/>
      <c r="G10" s="1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E8"/>
  <sheetViews>
    <sheetView workbookViewId="0"/>
  </sheetViews>
  <sheetFormatPr defaultRowHeight="16.5"/>
  <cols>
    <col min="1" max="1" width="8.75" customWidth="1"/>
    <col min="2" max="2" width="9.875" customWidth="1"/>
  </cols>
  <sheetData>
    <row r="1" spans="1:5" ht="17.25">
      <c r="B1" s="41" t="s">
        <v>126</v>
      </c>
      <c r="C1" s="42"/>
      <c r="D1" s="42"/>
    </row>
    <row r="3" spans="1:5">
      <c r="A3" s="28" t="s">
        <v>134</v>
      </c>
      <c r="B3" s="28" t="s">
        <v>127</v>
      </c>
      <c r="C3" s="28" t="s">
        <v>111</v>
      </c>
      <c r="D3" s="28" t="s">
        <v>128</v>
      </c>
      <c r="E3" s="28" t="s">
        <v>129</v>
      </c>
    </row>
    <row r="4" spans="1:5">
      <c r="A4" s="29" t="s">
        <v>135</v>
      </c>
      <c r="B4" s="30" t="s">
        <v>130</v>
      </c>
      <c r="C4" s="30">
        <v>7</v>
      </c>
      <c r="D4" s="31">
        <v>1200</v>
      </c>
      <c r="E4" s="31">
        <f>C4*D4</f>
        <v>8400</v>
      </c>
    </row>
    <row r="5" spans="1:5">
      <c r="A5" s="29" t="s">
        <v>136</v>
      </c>
      <c r="B5" s="30" t="s">
        <v>131</v>
      </c>
      <c r="C5" s="30">
        <v>12</v>
      </c>
      <c r="D5" s="31">
        <v>1500</v>
      </c>
      <c r="E5" s="31">
        <f>C5*D5</f>
        <v>18000</v>
      </c>
    </row>
    <row r="6" spans="1:5">
      <c r="A6" s="29" t="s">
        <v>137</v>
      </c>
      <c r="B6" s="30" t="s">
        <v>132</v>
      </c>
      <c r="C6" s="30">
        <v>8</v>
      </c>
      <c r="D6" s="31">
        <v>400</v>
      </c>
      <c r="E6" s="31">
        <f>C6*D6</f>
        <v>3200</v>
      </c>
    </row>
    <row r="7" spans="1:5">
      <c r="A7" s="29" t="s">
        <v>138</v>
      </c>
      <c r="B7" s="30" t="s">
        <v>133</v>
      </c>
      <c r="C7" s="30">
        <v>9</v>
      </c>
      <c r="D7" s="31">
        <v>700</v>
      </c>
      <c r="E7" s="31">
        <f>C7*D7</f>
        <v>6300</v>
      </c>
    </row>
    <row r="8" spans="1:5">
      <c r="A8" s="29" t="s">
        <v>139</v>
      </c>
      <c r="B8" s="30" t="s">
        <v>132</v>
      </c>
      <c r="C8" s="30">
        <v>3</v>
      </c>
      <c r="D8" s="31">
        <v>400</v>
      </c>
      <c r="E8" s="31">
        <f>C8*D8</f>
        <v>1200</v>
      </c>
    </row>
  </sheetData>
  <mergeCells count="1">
    <mergeCell ref="B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1:F14"/>
  <sheetViews>
    <sheetView workbookViewId="0"/>
  </sheetViews>
  <sheetFormatPr defaultRowHeight="16.5"/>
  <cols>
    <col min="1" max="1" width="11" bestFit="1" customWidth="1"/>
    <col min="2" max="2" width="9.375" bestFit="1" customWidth="1"/>
    <col min="3" max="3" width="8.75" customWidth="1"/>
    <col min="4" max="4" width="10" bestFit="1" customWidth="1"/>
    <col min="5" max="5" width="14.25" customWidth="1"/>
    <col min="6" max="6" width="13" bestFit="1" customWidth="1"/>
    <col min="7" max="7" width="2.625" customWidth="1"/>
    <col min="8" max="8" width="12.125" customWidth="1"/>
  </cols>
  <sheetData>
    <row r="1" spans="1:6">
      <c r="A1" t="s">
        <v>117</v>
      </c>
    </row>
    <row r="2" spans="1:6">
      <c r="A2" s="6" t="s">
        <v>140</v>
      </c>
      <c r="B2" s="6" t="s">
        <v>141</v>
      </c>
      <c r="C2" s="6" t="s">
        <v>142</v>
      </c>
      <c r="D2" s="6" t="s">
        <v>143</v>
      </c>
      <c r="E2" s="6" t="s">
        <v>144</v>
      </c>
      <c r="F2" s="6" t="s">
        <v>145</v>
      </c>
    </row>
    <row r="3" spans="1:6">
      <c r="A3" s="6" t="s">
        <v>146</v>
      </c>
      <c r="B3" s="9">
        <v>43150</v>
      </c>
      <c r="C3" s="32">
        <v>1250</v>
      </c>
      <c r="D3" s="8">
        <v>2.8968713789107801</v>
      </c>
      <c r="E3" s="9">
        <v>190984</v>
      </c>
      <c r="F3" s="11">
        <v>70360294</v>
      </c>
    </row>
    <row r="4" spans="1:6">
      <c r="A4" s="6" t="s">
        <v>147</v>
      </c>
      <c r="B4" s="9">
        <v>70500</v>
      </c>
      <c r="C4" s="33">
        <v>990</v>
      </c>
      <c r="D4" s="8">
        <v>1.40425531914894</v>
      </c>
      <c r="E4" s="9">
        <v>188630</v>
      </c>
      <c r="F4" s="11">
        <v>112582975</v>
      </c>
    </row>
    <row r="5" spans="1:6">
      <c r="A5" s="6" t="s">
        <v>148</v>
      </c>
      <c r="B5" s="9">
        <v>34450</v>
      </c>
      <c r="C5" s="32">
        <v>1120</v>
      </c>
      <c r="D5" s="8">
        <v>-3.2510885341073998</v>
      </c>
      <c r="E5" s="9">
        <v>177652</v>
      </c>
      <c r="F5" s="11">
        <v>172557131</v>
      </c>
    </row>
    <row r="6" spans="1:6">
      <c r="A6" s="6" t="s">
        <v>149</v>
      </c>
      <c r="B6" s="9">
        <v>214200</v>
      </c>
      <c r="C6" s="32">
        <v>13850</v>
      </c>
      <c r="D6" s="8">
        <v>6.4659197012138199</v>
      </c>
      <c r="E6" s="9">
        <v>311300</v>
      </c>
      <c r="F6" s="11">
        <v>703628100</v>
      </c>
    </row>
    <row r="7" spans="1:6">
      <c r="A7" s="6" t="s">
        <v>150</v>
      </c>
      <c r="B7" s="9">
        <v>108500</v>
      </c>
      <c r="C7" s="32">
        <v>9800</v>
      </c>
      <c r="D7" s="8">
        <v>-9.0322580645161299</v>
      </c>
      <c r="E7" s="9">
        <v>302977</v>
      </c>
      <c r="F7" s="11">
        <v>125456133</v>
      </c>
    </row>
    <row r="8" spans="1:6">
      <c r="A8" s="6" t="s">
        <v>151</v>
      </c>
      <c r="B8" s="9">
        <v>126000</v>
      </c>
      <c r="C8" s="32">
        <v>24800</v>
      </c>
      <c r="D8" s="8">
        <v>-19.682539682539701</v>
      </c>
      <c r="E8" s="9">
        <v>257309</v>
      </c>
      <c r="F8" s="11">
        <v>213668187</v>
      </c>
    </row>
    <row r="9" spans="1:6">
      <c r="A9" s="6" t="s">
        <v>152</v>
      </c>
      <c r="B9" s="9">
        <v>103000</v>
      </c>
      <c r="C9" s="32">
        <v>7850</v>
      </c>
      <c r="D9" s="8">
        <v>-7.6213592233009697</v>
      </c>
      <c r="E9" s="9">
        <v>229318</v>
      </c>
      <c r="F9" s="11">
        <v>415111537</v>
      </c>
    </row>
    <row r="10" spans="1:6">
      <c r="A10" s="6" t="s">
        <v>153</v>
      </c>
      <c r="B10" s="9">
        <v>41750</v>
      </c>
      <c r="C10" s="32">
        <v>8250</v>
      </c>
      <c r="D10" s="8">
        <v>19.760479041916199</v>
      </c>
      <c r="E10" s="9">
        <v>159576</v>
      </c>
      <c r="F10" s="11">
        <v>48374832</v>
      </c>
    </row>
    <row r="11" spans="1:6">
      <c r="A11" s="6" t="s">
        <v>154</v>
      </c>
      <c r="B11" s="9">
        <v>29800</v>
      </c>
      <c r="C11" s="32">
        <v>1820</v>
      </c>
      <c r="D11" s="8">
        <v>6.1073825503355703</v>
      </c>
      <c r="E11" s="9">
        <v>144844</v>
      </c>
      <c r="F11" s="11">
        <v>67789652</v>
      </c>
    </row>
    <row r="12" spans="1:6">
      <c r="A12" s="6" t="s">
        <v>155</v>
      </c>
      <c r="B12" s="9">
        <v>122100</v>
      </c>
      <c r="C12" s="32">
        <v>13540</v>
      </c>
      <c r="D12" s="8">
        <v>11.089271089271101</v>
      </c>
      <c r="E12" s="9">
        <v>229422</v>
      </c>
      <c r="F12" s="11">
        <v>248651378</v>
      </c>
    </row>
    <row r="13" spans="1:6">
      <c r="A13" s="6" t="s">
        <v>156</v>
      </c>
      <c r="B13" s="9">
        <v>87200</v>
      </c>
      <c r="C13" s="32">
        <v>3520</v>
      </c>
      <c r="D13" s="8">
        <v>4.03669724770642</v>
      </c>
      <c r="E13" s="9">
        <v>197009</v>
      </c>
      <c r="F13" s="11">
        <v>15618197</v>
      </c>
    </row>
    <row r="14" spans="1:6">
      <c r="A14" s="6" t="s">
        <v>157</v>
      </c>
      <c r="B14" s="9">
        <v>192000</v>
      </c>
      <c r="C14" s="32">
        <v>34000</v>
      </c>
      <c r="D14" s="8">
        <v>-17.7083333333333</v>
      </c>
      <c r="E14" s="9">
        <v>512514</v>
      </c>
      <c r="F14" s="11">
        <v>728002365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F9"/>
  <sheetViews>
    <sheetView workbookViewId="0"/>
  </sheetViews>
  <sheetFormatPr defaultRowHeight="16.5"/>
  <cols>
    <col min="1" max="1" width="13.25" customWidth="1"/>
    <col min="2" max="2" width="14.375" bestFit="1" customWidth="1"/>
    <col min="3" max="3" width="12.5" customWidth="1"/>
  </cols>
  <sheetData>
    <row r="1" spans="1:6" ht="19.5">
      <c r="A1" s="34" t="s">
        <v>158</v>
      </c>
    </row>
    <row r="2" spans="1:6">
      <c r="F2" t="s">
        <v>174</v>
      </c>
    </row>
    <row r="3" spans="1:6">
      <c r="A3" s="35" t="s">
        <v>159</v>
      </c>
      <c r="B3" s="35" t="s">
        <v>160</v>
      </c>
      <c r="C3" s="35" t="s">
        <v>161</v>
      </c>
    </row>
    <row r="4" spans="1:6">
      <c r="A4" t="s">
        <v>162</v>
      </c>
      <c r="B4" t="s">
        <v>163</v>
      </c>
      <c r="C4" s="36">
        <v>10000</v>
      </c>
    </row>
    <row r="5" spans="1:6">
      <c r="A5" t="s">
        <v>164</v>
      </c>
      <c r="B5" t="s">
        <v>165</v>
      </c>
      <c r="C5" s="36">
        <v>20000</v>
      </c>
    </row>
    <row r="6" spans="1:6">
      <c r="A6" t="s">
        <v>166</v>
      </c>
      <c r="B6" t="s">
        <v>167</v>
      </c>
      <c r="C6" s="36">
        <v>10000</v>
      </c>
    </row>
    <row r="7" spans="1:6">
      <c r="A7" t="s">
        <v>168</v>
      </c>
      <c r="B7" t="s">
        <v>169</v>
      </c>
      <c r="C7" s="36">
        <v>5000</v>
      </c>
    </row>
    <row r="8" spans="1:6">
      <c r="A8" t="s">
        <v>170</v>
      </c>
      <c r="B8" t="s">
        <v>171</v>
      </c>
      <c r="C8" s="36">
        <v>100000</v>
      </c>
    </row>
    <row r="9" spans="1:6">
      <c r="A9" t="s">
        <v>172</v>
      </c>
      <c r="B9" t="s">
        <v>173</v>
      </c>
      <c r="C9" s="36">
        <v>250000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송금">
          <controlPr defaultSize="0" autoLine="0" r:id="rId4">
            <anchor moveWithCells="1">
              <from>
                <xdr:col>3</xdr:col>
                <xdr:colOff>200025</xdr:colOff>
                <xdr:row>1</xdr:row>
                <xdr:rowOff>0</xdr:rowOff>
              </from>
              <to>
                <xdr:col>4</xdr:col>
                <xdr:colOff>552450</xdr:colOff>
                <xdr:row>2</xdr:row>
                <xdr:rowOff>104775</xdr:rowOff>
              </to>
            </anchor>
          </controlPr>
        </control>
      </mc:Choice>
      <mc:Fallback>
        <control shapeId="3073" r:id="rId3" name="cmd송금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2023-05-12T01:27:33Z</dcterms:created>
  <dcterms:modified xsi:type="dcterms:W3CDTF">2023-10-05T12:36:56Z</dcterms:modified>
</cp:coreProperties>
</file>