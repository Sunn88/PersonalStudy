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47D0C4AD-364B-4E63-8B45-FA028AC678B4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6" l="1"/>
  <c r="H6" i="6"/>
  <c r="H7" i="6"/>
  <c r="H8" i="6"/>
  <c r="H9" i="6"/>
  <c r="H10" i="6"/>
  <c r="H11" i="6"/>
  <c r="E4" i="6"/>
  <c r="H4" i="6"/>
  <c r="E6" i="6"/>
  <c r="E7" i="6"/>
  <c r="E8" i="6"/>
  <c r="E9" i="6"/>
  <c r="E11" i="6"/>
  <c r="C6" i="4"/>
  <c r="E5" i="8"/>
  <c r="I5" i="8" s="1"/>
  <c r="H5" i="8"/>
  <c r="E6" i="8"/>
  <c r="H6" i="8"/>
  <c r="I6" i="8"/>
  <c r="E7" i="8"/>
  <c r="I7" i="8" s="1"/>
  <c r="H7" i="8"/>
  <c r="E8" i="8"/>
  <c r="I8" i="8" s="1"/>
  <c r="H8" i="8"/>
  <c r="E9" i="8"/>
  <c r="I9" i="8" s="1"/>
  <c r="H9" i="8"/>
  <c r="E10" i="8"/>
  <c r="H10" i="8"/>
  <c r="I10" i="8" s="1"/>
  <c r="E11" i="8"/>
  <c r="H11" i="8"/>
  <c r="I11" i="8"/>
  <c r="E12" i="8"/>
  <c r="I12" i="8" s="1"/>
  <c r="H12" i="8"/>
  <c r="E13" i="8"/>
  <c r="H13" i="8"/>
  <c r="E14" i="8"/>
  <c r="H14" i="8"/>
  <c r="I14" i="8"/>
  <c r="E15" i="8"/>
  <c r="I15" i="8" s="1"/>
  <c r="H15" i="8"/>
  <c r="C16" i="8"/>
  <c r="D16" i="8"/>
  <c r="F16" i="8"/>
  <c r="G16" i="8"/>
  <c r="H16" i="8"/>
  <c r="I6" i="6" l="1"/>
  <c r="I9" i="6"/>
  <c r="I11" i="6"/>
  <c r="I10" i="6"/>
  <c r="I7" i="6"/>
  <c r="I8" i="6"/>
  <c r="I4" i="6"/>
  <c r="I5" i="6"/>
  <c r="I13" i="8"/>
  <c r="I16" i="8" s="1"/>
  <c r="E16" i="8"/>
</calcChain>
</file>

<file path=xl/sharedStrings.xml><?xml version="1.0" encoding="utf-8"?>
<sst xmlns="http://schemas.openxmlformats.org/spreadsheetml/2006/main" count="272" uniqueCount="174">
  <si>
    <t>사번</t>
  </si>
  <si>
    <t>이름</t>
  </si>
  <si>
    <t>부서</t>
  </si>
  <si>
    <t>성별</t>
  </si>
  <si>
    <t>직위</t>
  </si>
  <si>
    <t>TOEIC</t>
  </si>
  <si>
    <t>입사일</t>
  </si>
  <si>
    <t>홍길동</t>
  </si>
  <si>
    <t>총무부</t>
  </si>
  <si>
    <t>남</t>
  </si>
  <si>
    <t>과장</t>
  </si>
  <si>
    <t>이도현</t>
  </si>
  <si>
    <t>영업부</t>
  </si>
  <si>
    <t>한미우</t>
  </si>
  <si>
    <t>인사부</t>
  </si>
  <si>
    <t>대리</t>
  </si>
  <si>
    <t>박정진</t>
  </si>
  <si>
    <t>윤보라</t>
  </si>
  <si>
    <t>여</t>
  </si>
  <si>
    <t>이형태</t>
  </si>
  <si>
    <t>최재석</t>
  </si>
  <si>
    <t>김한응</t>
  </si>
  <si>
    <t>이미라</t>
  </si>
  <si>
    <t>사원</t>
  </si>
  <si>
    <t>백준걸</t>
  </si>
  <si>
    <t>고수정</t>
  </si>
  <si>
    <t>유응구</t>
  </si>
  <si>
    <t>안은민</t>
  </si>
  <si>
    <t>이병열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</si>
  <si>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</si>
  <si>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</si>
  <si>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</si>
  <si>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</si>
  <si>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</si>
  <si>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</si>
  <si>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</si>
  <si>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</si>
  <si>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</si>
  <si>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</si>
  <si>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</si>
  <si>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J0051</t>
    <phoneticPr fontId="1" type="noConversion"/>
  </si>
  <si>
    <t>J0023</t>
    <phoneticPr fontId="1" type="noConversion"/>
  </si>
  <si>
    <t>J0038</t>
    <phoneticPr fontId="1" type="noConversion"/>
  </si>
  <si>
    <t>J0099</t>
    <phoneticPr fontId="1" type="noConversion"/>
  </si>
  <si>
    <t>J0050</t>
    <phoneticPr fontId="1" type="noConversion"/>
  </si>
  <si>
    <t>J0031</t>
    <phoneticPr fontId="1" type="noConversion"/>
  </si>
  <si>
    <t>P0001</t>
    <phoneticPr fontId="1" type="noConversion"/>
  </si>
  <si>
    <t>P0092</t>
    <phoneticPr fontId="1" type="noConversion"/>
  </si>
  <si>
    <t>P0049</t>
    <phoneticPr fontId="1" type="noConversion"/>
  </si>
  <si>
    <t>P0080</t>
    <phoneticPr fontId="1" type="noConversion"/>
  </si>
  <si>
    <t>P0051</t>
    <phoneticPr fontId="1" type="noConversion"/>
  </si>
  <si>
    <t>P0012</t>
    <phoneticPr fontId="1" type="noConversion"/>
  </si>
  <si>
    <t>P0073</t>
    <phoneticPr fontId="1" type="noConversion"/>
  </si>
  <si>
    <t>P0014</t>
    <phoneticPr fontId="1" type="noConversion"/>
  </si>
  <si>
    <t>P0095</t>
    <phoneticPr fontId="1" type="noConversion"/>
  </si>
  <si>
    <t>상공전자 제품 판매 현황</t>
  </si>
  <si>
    <t>제품명</t>
  </si>
  <si>
    <t>단가</t>
  </si>
  <si>
    <t>회원</t>
  </si>
  <si>
    <t>비회원</t>
  </si>
  <si>
    <t>판매총액</t>
  </si>
  <si>
    <t>판매수량</t>
  </si>
  <si>
    <t>반품수량</t>
  </si>
  <si>
    <t>판매금액</t>
  </si>
  <si>
    <t>김치냉장고</t>
  </si>
  <si>
    <t>세탁기</t>
  </si>
  <si>
    <t>식기세척기</t>
  </si>
  <si>
    <t>전자레인지</t>
  </si>
  <si>
    <t>홈시어터</t>
  </si>
  <si>
    <t>TV</t>
  </si>
  <si>
    <t>에어컨</t>
  </si>
  <si>
    <t>공기청정기</t>
  </si>
  <si>
    <t>노트북</t>
  </si>
  <si>
    <t>컴퓨터</t>
  </si>
  <si>
    <t>합계</t>
  </si>
  <si>
    <t>구분별 할인율</t>
  </si>
  <si>
    <t>구분</t>
  </si>
  <si>
    <t>할인율</t>
  </si>
  <si>
    <t>냉장고</t>
    <phoneticPr fontId="1" type="noConversion"/>
  </si>
  <si>
    <t>[표1]</t>
  </si>
  <si>
    <t>부서별 급여 지급 내역서</t>
  </si>
  <si>
    <t>기준날짜</t>
  </si>
  <si>
    <t>사원코드</t>
  </si>
  <si>
    <t>성명</t>
  </si>
  <si>
    <t>부서명</t>
  </si>
  <si>
    <t>근무년수</t>
  </si>
  <si>
    <t>기본급</t>
  </si>
  <si>
    <t>상여금</t>
  </si>
  <si>
    <t>수당</t>
  </si>
  <si>
    <t>G1</t>
  </si>
  <si>
    <t>홍기남</t>
  </si>
  <si>
    <t>기획부</t>
  </si>
  <si>
    <t>부장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</si>
  <si>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</si>
  <si>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</si>
  <si>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</si>
  <si>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</si>
  <si>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</si>
  <si>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</si>
  <si>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</si>
  <si>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</si>
  <si>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</si>
  <si>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</si>
  <si>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</si>
  <si>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</si>
  <si>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</si>
  <si>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</si>
  <si>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</si>
  <si>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</si>
  <si>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급여증가분</t>
  </si>
  <si>
    <t>[표2]</t>
  </si>
  <si>
    <t>상여금 평균</t>
  </si>
  <si>
    <t>수당지급율표</t>
  </si>
  <si>
    <t>수당비율</t>
  </si>
  <si>
    <t>최대상여금 순위</t>
    <phoneticPr fontId="1" type="noConversion"/>
  </si>
  <si>
    <t>반영비율에 따른 가중평균</t>
  </si>
  <si>
    <t>면접</t>
  </si>
  <si>
    <t>필기</t>
  </si>
  <si>
    <t>항목별 반영비율</t>
  </si>
  <si>
    <t>실기</t>
  </si>
  <si>
    <t>기준</t>
  </si>
  <si>
    <t>가중평균</t>
  </si>
  <si>
    <t>비율</t>
  </si>
  <si>
    <t>면_x000D_
접</t>
  </si>
  <si>
    <t>사원별 판매 현황</t>
  </si>
  <si>
    <t>영업소</t>
  </si>
  <si>
    <t>상반기 판매</t>
  </si>
  <si>
    <t>하반기 판매</t>
  </si>
  <si>
    <t>박성호</t>
  </si>
  <si>
    <t>경기</t>
  </si>
  <si>
    <t>김현승</t>
  </si>
  <si>
    <t>대구</t>
  </si>
  <si>
    <t>손정호</t>
  </si>
  <si>
    <t>인천</t>
  </si>
  <si>
    <t>강만식</t>
  </si>
  <si>
    <t>부산</t>
  </si>
  <si>
    <t>최기정</t>
  </si>
  <si>
    <t>하경희</t>
  </si>
  <si>
    <t>임정희</t>
  </si>
  <si>
    <t>안진국</t>
  </si>
  <si>
    <t>[표1]</t>
    <phoneticPr fontId="1" type="noConversion"/>
  </si>
  <si>
    <t>성명</t>
    <phoneticPr fontId="8" type="noConversion"/>
  </si>
  <si>
    <t>전공학과</t>
    <phoneticPr fontId="8" type="noConversion"/>
  </si>
  <si>
    <t>결석회수</t>
    <phoneticPr fontId="8" type="noConversion"/>
  </si>
  <si>
    <t>출석점수</t>
    <phoneticPr fontId="8" type="noConversion"/>
  </si>
  <si>
    <t>중간고사</t>
    <phoneticPr fontId="8" type="noConversion"/>
  </si>
  <si>
    <t>기말고사</t>
    <phoneticPr fontId="8" type="noConversion"/>
  </si>
  <si>
    <t>평점</t>
    <phoneticPr fontId="8" type="noConversion"/>
  </si>
  <si>
    <t>등수</t>
    <phoneticPr fontId="1" type="noConversion"/>
  </si>
  <si>
    <t>이미영</t>
    <phoneticPr fontId="8" type="noConversion"/>
  </si>
  <si>
    <t>컴퓨터</t>
    <phoneticPr fontId="8" type="noConversion"/>
  </si>
  <si>
    <t>구기자</t>
    <phoneticPr fontId="8" type="noConversion"/>
  </si>
  <si>
    <t>국문</t>
    <phoneticPr fontId="8" type="noConversion"/>
  </si>
  <si>
    <t>한명구</t>
    <phoneticPr fontId="8" type="noConversion"/>
  </si>
  <si>
    <t>경영</t>
    <phoneticPr fontId="8" type="noConversion"/>
  </si>
  <si>
    <t>사오정</t>
    <phoneticPr fontId="8" type="noConversion"/>
  </si>
  <si>
    <t>오동추</t>
    <phoneticPr fontId="8" type="noConversion"/>
  </si>
  <si>
    <t>윤수아</t>
    <phoneticPr fontId="8" type="noConversion"/>
  </si>
  <si>
    <t>김기자</t>
    <phoneticPr fontId="8" type="noConversion"/>
  </si>
  <si>
    <t>우주태</t>
    <phoneticPr fontId="8" type="noConversion"/>
  </si>
  <si>
    <t>중간고사 성적표</t>
  </si>
  <si>
    <t>반</t>
  </si>
  <si>
    <t>1차</t>
  </si>
  <si>
    <t>2차</t>
  </si>
  <si>
    <t>반자료</t>
  </si>
  <si>
    <t>3-1반</t>
  </si>
  <si>
    <t>김일반</t>
  </si>
  <si>
    <t>3-2반</t>
  </si>
  <si>
    <t>이이반</t>
  </si>
  <si>
    <t>3-3반</t>
  </si>
  <si>
    <t>박삼반</t>
  </si>
  <si>
    <t>3-4반</t>
  </si>
  <si>
    <t>3-5반</t>
  </si>
  <si>
    <t>3-6반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</si>
</sst>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&quot;-&quot;mm&quot;-&quot;dd"/>
    <numFmt numFmtId="177" formatCode="0_);[Red]\(0\)"/>
    <numFmt numFmtId="178" formatCode="#,##0_);[Red]\(#,##0\)"/>
    <numFmt numFmtId="179" formatCode="#,##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8"/>
      <name val="돋움"/>
      <family val="3"/>
      <charset val="129"/>
    </font>
    <font>
      <b/>
      <sz val="13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9" fontId="0" fillId="0" borderId="1" xfId="2" applyFont="1" applyBorder="1">
      <alignment vertical="center"/>
    </xf>
    <xf numFmtId="0" fontId="6" fillId="0" borderId="0" xfId="3" applyFont="1" applyAlignment="1">
      <alignment vertical="center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177" fontId="6" fillId="0" borderId="1" xfId="3" applyNumberFormat="1" applyFont="1" applyBorder="1" applyAlignment="1">
      <alignment horizontal="center" vertical="center" wrapText="1"/>
    </xf>
    <xf numFmtId="178" fontId="6" fillId="0" borderId="1" xfId="4" applyNumberFormat="1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177" fontId="6" fillId="0" borderId="1" xfId="5" applyNumberFormat="1" applyFont="1" applyFill="1" applyBorder="1" applyAlignment="1">
      <alignment horizontal="center" vertical="center"/>
    </xf>
    <xf numFmtId="177" fontId="6" fillId="0" borderId="1" xfId="4" applyNumberFormat="1" applyFont="1" applyBorder="1" applyAlignment="1">
      <alignment horizontal="center" vertical="center"/>
    </xf>
    <xf numFmtId="179" fontId="6" fillId="0" borderId="1" xfId="1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6">
    <cellStyle name="백분율" xfId="2" builtinId="5"/>
    <cellStyle name="백분율 2" xfId="5" xr:uid="{AA263A32-3825-4DE7-9CEE-7308AA5EA933}"/>
    <cellStyle name="쉼표 [0]" xfId="1" builtinId="6"/>
    <cellStyle name="쉼표 [0] 2" xfId="4" xr:uid="{C2087403-3018-4DDD-8F22-6D3B31CEA97D}"/>
    <cellStyle name="표준" xfId="0" builtinId="0"/>
    <cellStyle name="표준 2" xfId="3" xr:uid="{54FFBABA-65CF-4E95-8EC8-F98515CA1A48}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상반기 판매</c:v>
                </c:pt>
              </c:strCache>
            </c:strRef>
          </c:tx>
          <c:explosion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46-4261-B0C8-73A64FC9E5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46-4261-B0C8-73A64FC9E5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46-4261-B0C8-73A64FC9E5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46-4261-B0C8-73A64FC9E5CB}"/>
              </c:ext>
            </c:extLst>
          </c:dPt>
          <c:cat>
            <c:strRef>
              <c:f>('기타작업-1'!$A$6,'기타작업-1'!$A$8,'기타작업-1'!$A$10:$A$11)</c:f>
              <c:strCache>
                <c:ptCount val="4"/>
                <c:pt idx="0">
                  <c:v>손정호</c:v>
                </c:pt>
                <c:pt idx="1">
                  <c:v>최기정</c:v>
                </c:pt>
                <c:pt idx="2">
                  <c:v>임정희</c:v>
                </c:pt>
                <c:pt idx="3">
                  <c:v>안진국</c:v>
                </c:pt>
              </c:strCache>
            </c:strRef>
          </c:cat>
          <c:val>
            <c:numRef>
              <c:f>('기타작업-1'!$C$6,'기타작업-1'!$C$8,'기타작업-1'!$C$10:$C$11)</c:f>
              <c:numCache>
                <c:formatCode>General</c:formatCode>
                <c:ptCount val="4"/>
                <c:pt idx="0">
                  <c:v>120</c:v>
                </c:pt>
                <c:pt idx="1">
                  <c:v>120</c:v>
                </c:pt>
                <c:pt idx="2">
                  <c:v>160</c:v>
                </c:pt>
                <c:pt idx="3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3-4639-807E-6F6EB9118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5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2</xdr:row>
          <xdr:rowOff>0</xdr:rowOff>
        </xdr:from>
        <xdr:to>
          <xdr:col>5</xdr:col>
          <xdr:colOff>514350</xdr:colOff>
          <xdr:row>8</xdr:row>
          <xdr:rowOff>85725</xdr:rowOff>
        </xdr:to>
        <xdr:sp macro="" textlink="">
          <xdr:nvSpPr>
            <xdr:cNvPr id="2049" name="cmd성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2:H22"/>
  <sheetViews>
    <sheetView tabSelected="1" workbookViewId="0"/>
  </sheetViews>
  <sheetFormatPr defaultRowHeight="16.5"/>
  <cols>
    <col min="1" max="1" width="3" customWidth="1"/>
    <col min="2" max="2" width="8.125" customWidth="1"/>
    <col min="3" max="4" width="8.25" customWidth="1"/>
    <col min="5" max="6" width="6.125" customWidth="1"/>
    <col min="7" max="7" width="7.125" customWidth="1"/>
    <col min="8" max="8" width="12.5" bestFit="1" customWidth="1"/>
  </cols>
  <sheetData>
    <row r="2" spans="2:8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2:8">
      <c r="B3" s="2" t="s">
        <v>40</v>
      </c>
      <c r="C3" s="2" t="s">
        <v>7</v>
      </c>
      <c r="D3" s="2" t="s">
        <v>8</v>
      </c>
      <c r="E3" s="2" t="s">
        <v>9</v>
      </c>
      <c r="F3" s="2" t="s">
        <v>10</v>
      </c>
      <c r="G3" s="2">
        <v>920</v>
      </c>
      <c r="H3" s="3">
        <v>43526</v>
      </c>
    </row>
    <row r="4" spans="2:8">
      <c r="B4" s="2" t="s">
        <v>41</v>
      </c>
      <c r="C4" s="2" t="s">
        <v>11</v>
      </c>
      <c r="D4" s="2" t="s">
        <v>12</v>
      </c>
      <c r="E4" s="2" t="s">
        <v>9</v>
      </c>
      <c r="F4" s="2" t="s">
        <v>10</v>
      </c>
      <c r="G4" s="2">
        <v>900</v>
      </c>
      <c r="H4" s="3">
        <v>43526</v>
      </c>
    </row>
    <row r="5" spans="2:8">
      <c r="B5" s="2" t="s">
        <v>42</v>
      </c>
      <c r="C5" s="2" t="s">
        <v>13</v>
      </c>
      <c r="D5" s="2" t="s">
        <v>14</v>
      </c>
      <c r="E5" s="2" t="s">
        <v>9</v>
      </c>
      <c r="F5" s="2" t="s">
        <v>15</v>
      </c>
      <c r="G5" s="2">
        <v>850</v>
      </c>
      <c r="H5" s="3">
        <v>43617</v>
      </c>
    </row>
    <row r="6" spans="2:8">
      <c r="B6" s="2" t="s">
        <v>43</v>
      </c>
      <c r="C6" s="2" t="s">
        <v>16</v>
      </c>
      <c r="D6" s="2" t="s">
        <v>12</v>
      </c>
      <c r="E6" s="2" t="s">
        <v>9</v>
      </c>
      <c r="F6" s="2" t="s">
        <v>15</v>
      </c>
      <c r="G6" s="2">
        <v>840</v>
      </c>
      <c r="H6" s="3">
        <v>43617</v>
      </c>
    </row>
    <row r="7" spans="2:8">
      <c r="B7" s="2" t="s">
        <v>44</v>
      </c>
      <c r="C7" s="2" t="s">
        <v>17</v>
      </c>
      <c r="D7" s="2" t="s">
        <v>8</v>
      </c>
      <c r="E7" s="2" t="s">
        <v>18</v>
      </c>
      <c r="F7" s="2" t="s">
        <v>15</v>
      </c>
      <c r="G7" s="2">
        <v>830</v>
      </c>
      <c r="H7" s="3">
        <v>43617</v>
      </c>
    </row>
    <row r="8" spans="2:8">
      <c r="B8" s="2" t="s">
        <v>45</v>
      </c>
      <c r="C8" s="2" t="s">
        <v>19</v>
      </c>
      <c r="D8" s="2" t="s">
        <v>14</v>
      </c>
      <c r="E8" s="2" t="s">
        <v>9</v>
      </c>
      <c r="F8" s="2" t="s">
        <v>15</v>
      </c>
      <c r="G8" s="2">
        <v>820</v>
      </c>
      <c r="H8" s="3">
        <v>43892</v>
      </c>
    </row>
    <row r="9" spans="2:8">
      <c r="B9" s="2" t="s">
        <v>46</v>
      </c>
      <c r="C9" s="2" t="s">
        <v>20</v>
      </c>
      <c r="D9" s="2" t="s">
        <v>14</v>
      </c>
      <c r="E9" s="2" t="s">
        <v>9</v>
      </c>
      <c r="F9" s="2" t="s">
        <v>10</v>
      </c>
      <c r="G9" s="2">
        <v>770</v>
      </c>
      <c r="H9" s="3">
        <v>43892</v>
      </c>
    </row>
    <row r="10" spans="2:8">
      <c r="B10" s="2" t="s">
        <v>47</v>
      </c>
      <c r="C10" s="2" t="s">
        <v>21</v>
      </c>
      <c r="D10" s="2" t="s">
        <v>12</v>
      </c>
      <c r="E10" s="2" t="s">
        <v>9</v>
      </c>
      <c r="F10" s="2" t="s">
        <v>10</v>
      </c>
      <c r="G10" s="2">
        <v>760</v>
      </c>
      <c r="H10" s="3">
        <v>43892</v>
      </c>
    </row>
    <row r="11" spans="2:8">
      <c r="B11" s="2" t="s">
        <v>48</v>
      </c>
      <c r="C11" s="2" t="s">
        <v>22</v>
      </c>
      <c r="D11" s="2" t="s">
        <v>12</v>
      </c>
      <c r="E11" s="2" t="s">
        <v>18</v>
      </c>
      <c r="F11" s="2" t="s">
        <v>23</v>
      </c>
      <c r="G11" s="2">
        <v>900</v>
      </c>
      <c r="H11" s="3">
        <v>43983</v>
      </c>
    </row>
    <row r="12" spans="2:8">
      <c r="B12" s="2" t="s">
        <v>49</v>
      </c>
      <c r="C12" s="2" t="s">
        <v>24</v>
      </c>
      <c r="D12" s="2" t="s">
        <v>8</v>
      </c>
      <c r="E12" s="2" t="s">
        <v>9</v>
      </c>
      <c r="F12" s="2" t="s">
        <v>23</v>
      </c>
      <c r="G12" s="2">
        <v>580</v>
      </c>
      <c r="H12" s="3">
        <v>44317</v>
      </c>
    </row>
    <row r="13" spans="2:8">
      <c r="B13" s="2" t="s">
        <v>50</v>
      </c>
      <c r="C13" s="2" t="s">
        <v>25</v>
      </c>
      <c r="D13" s="2" t="s">
        <v>14</v>
      </c>
      <c r="E13" s="2" t="s">
        <v>18</v>
      </c>
      <c r="F13" s="2" t="s">
        <v>23</v>
      </c>
      <c r="G13" s="2">
        <v>560</v>
      </c>
      <c r="H13" s="3">
        <v>44378</v>
      </c>
    </row>
    <row r="14" spans="2:8">
      <c r="B14" s="2" t="s">
        <v>51</v>
      </c>
      <c r="C14" s="2" t="s">
        <v>26</v>
      </c>
      <c r="D14" s="2" t="s">
        <v>12</v>
      </c>
      <c r="E14" s="2" t="s">
        <v>18</v>
      </c>
      <c r="F14" s="2" t="s">
        <v>23</v>
      </c>
      <c r="G14" s="2">
        <v>540</v>
      </c>
      <c r="H14" s="3">
        <v>44409</v>
      </c>
    </row>
    <row r="15" spans="2:8">
      <c r="B15" s="2" t="s">
        <v>52</v>
      </c>
      <c r="C15" s="2" t="s">
        <v>27</v>
      </c>
      <c r="D15" s="2" t="s">
        <v>8</v>
      </c>
      <c r="E15" s="2" t="s">
        <v>18</v>
      </c>
      <c r="F15" s="2" t="s">
        <v>23</v>
      </c>
      <c r="G15" s="2">
        <v>520</v>
      </c>
      <c r="H15" s="3">
        <v>44409</v>
      </c>
    </row>
    <row r="16" spans="2:8">
      <c r="B16" s="2" t="s">
        <v>53</v>
      </c>
      <c r="C16" s="2" t="s">
        <v>28</v>
      </c>
      <c r="D16" s="2" t="s">
        <v>14</v>
      </c>
      <c r="E16" s="2" t="s">
        <v>9</v>
      </c>
      <c r="F16" s="2" t="s">
        <v>23</v>
      </c>
      <c r="G16" s="2">
        <v>500</v>
      </c>
      <c r="H16" s="3">
        <v>44440</v>
      </c>
    </row>
    <row r="17" spans="2:8">
      <c r="B17" s="2" t="s">
        <v>54</v>
      </c>
      <c r="C17" s="2" t="s">
        <v>29</v>
      </c>
      <c r="D17" s="2" t="s">
        <v>12</v>
      </c>
      <c r="E17" s="2" t="s">
        <v>9</v>
      </c>
      <c r="F17" s="2" t="s">
        <v>23</v>
      </c>
      <c r="G17" s="2">
        <v>480</v>
      </c>
      <c r="H17" s="3">
        <v>44440</v>
      </c>
    </row>
    <row r="18" spans="2:8">
      <c r="B18" s="2" t="s">
        <v>30</v>
      </c>
      <c r="C18" s="2" t="s">
        <v>31</v>
      </c>
      <c r="D18" s="2" t="s">
        <v>12</v>
      </c>
      <c r="E18" s="2" t="s">
        <v>9</v>
      </c>
      <c r="F18" s="2" t="s">
        <v>15</v>
      </c>
      <c r="G18" s="2">
        <v>970</v>
      </c>
      <c r="H18" s="3">
        <v>44622</v>
      </c>
    </row>
    <row r="19" spans="2:8">
      <c r="B19" s="2" t="s">
        <v>32</v>
      </c>
      <c r="C19" s="2" t="s">
        <v>33</v>
      </c>
      <c r="D19" s="2" t="s">
        <v>8</v>
      </c>
      <c r="E19" s="2" t="s">
        <v>9</v>
      </c>
      <c r="F19" s="2" t="s">
        <v>15</v>
      </c>
      <c r="G19" s="2">
        <v>920</v>
      </c>
      <c r="H19" s="3">
        <v>44652</v>
      </c>
    </row>
    <row r="20" spans="2:8">
      <c r="B20" s="2" t="s">
        <v>34</v>
      </c>
      <c r="C20" s="2" t="s">
        <v>35</v>
      </c>
      <c r="D20" s="2" t="s">
        <v>14</v>
      </c>
      <c r="E20" s="2" t="s">
        <v>9</v>
      </c>
      <c r="F20" s="2" t="s">
        <v>15</v>
      </c>
      <c r="G20" s="2">
        <v>910</v>
      </c>
      <c r="H20" s="3">
        <v>44652</v>
      </c>
    </row>
    <row r="21" spans="2:8">
      <c r="B21" s="2" t="s">
        <v>36</v>
      </c>
      <c r="C21" s="2" t="s">
        <v>37</v>
      </c>
      <c r="D21" s="2" t="s">
        <v>12</v>
      </c>
      <c r="E21" s="2" t="s">
        <v>18</v>
      </c>
      <c r="F21" s="2" t="s">
        <v>15</v>
      </c>
      <c r="G21" s="2">
        <v>900</v>
      </c>
      <c r="H21" s="3">
        <v>45170</v>
      </c>
    </row>
    <row r="22" spans="2:8">
      <c r="B22" s="2" t="s">
        <v>38</v>
      </c>
      <c r="C22" s="2" t="s">
        <v>39</v>
      </c>
      <c r="D22" s="2" t="s">
        <v>8</v>
      </c>
      <c r="E22" s="2" t="s">
        <v>9</v>
      </c>
      <c r="F22" s="2" t="s">
        <v>15</v>
      </c>
      <c r="G22" s="2">
        <v>890</v>
      </c>
      <c r="H22" s="3">
        <v>44075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A860-C156-4C0A-B962-8A52C280A2D6}">
  <sheetPr codeName="Sheet3"/>
  <dimension ref="A1:I20"/>
  <sheetViews>
    <sheetView workbookViewId="0">
      <selection sqref="A1:I1"/>
    </sheetView>
  </sheetViews>
  <sheetFormatPr defaultRowHeight="16.5"/>
  <cols>
    <col min="1" max="1" width="11.75" customWidth="1"/>
    <col min="2" max="2" width="10.875" bestFit="1" customWidth="1"/>
    <col min="3" max="4" width="9.25" bestFit="1" customWidth="1"/>
    <col min="5" max="5" width="14.625" bestFit="1" customWidth="1"/>
    <col min="6" max="7" width="9.25" bestFit="1" customWidth="1"/>
    <col min="8" max="9" width="14.625" bestFit="1" customWidth="1"/>
  </cols>
  <sheetData>
    <row r="1" spans="1:9" ht="20.25">
      <c r="A1" s="27" t="s">
        <v>55</v>
      </c>
      <c r="B1" s="27"/>
      <c r="C1" s="27"/>
      <c r="D1" s="27"/>
      <c r="E1" s="27"/>
      <c r="F1" s="27"/>
      <c r="G1" s="27"/>
      <c r="H1" s="27"/>
      <c r="I1" s="27"/>
    </row>
    <row r="3" spans="1:9">
      <c r="A3" s="26" t="s">
        <v>56</v>
      </c>
      <c r="B3" s="26" t="s">
        <v>57</v>
      </c>
      <c r="C3" s="26" t="s">
        <v>58</v>
      </c>
      <c r="D3" s="26"/>
      <c r="E3" s="26"/>
      <c r="F3" s="26" t="s">
        <v>59</v>
      </c>
      <c r="G3" s="26"/>
      <c r="H3" s="26"/>
      <c r="I3" s="26" t="s">
        <v>60</v>
      </c>
    </row>
    <row r="4" spans="1:9">
      <c r="A4" s="26"/>
      <c r="B4" s="26"/>
      <c r="C4" s="4" t="s">
        <v>61</v>
      </c>
      <c r="D4" s="4" t="s">
        <v>62</v>
      </c>
      <c r="E4" s="4" t="s">
        <v>63</v>
      </c>
      <c r="F4" s="4" t="s">
        <v>61</v>
      </c>
      <c r="G4" s="4" t="s">
        <v>62</v>
      </c>
      <c r="H4" s="4" t="s">
        <v>63</v>
      </c>
      <c r="I4" s="26"/>
    </row>
    <row r="5" spans="1:9">
      <c r="A5" s="4" t="s">
        <v>78</v>
      </c>
      <c r="B5" s="5">
        <v>3000000</v>
      </c>
      <c r="C5" s="5">
        <v>125</v>
      </c>
      <c r="D5" s="5">
        <v>5</v>
      </c>
      <c r="E5" s="5">
        <f t="shared" ref="E5:E15" si="0">ROUND(B5*(C5-D5)-B5*(C5-D5)*$B$20,-4)</f>
        <v>306000000</v>
      </c>
      <c r="F5" s="5">
        <v>103</v>
      </c>
      <c r="G5" s="5">
        <v>4</v>
      </c>
      <c r="H5" s="5">
        <f t="shared" ref="H5:H15" si="1">ROUND(B5*(F5-G5)-B5*(F5-G5)*$C$20,-4)</f>
        <v>267300000</v>
      </c>
      <c r="I5" s="5">
        <f t="shared" ref="I5:I15" si="2">E5+H5</f>
        <v>573300000</v>
      </c>
    </row>
    <row r="6" spans="1:9">
      <c r="A6" s="4" t="s">
        <v>64</v>
      </c>
      <c r="B6" s="5">
        <v>1800000</v>
      </c>
      <c r="C6" s="5">
        <v>95</v>
      </c>
      <c r="D6" s="5">
        <v>4</v>
      </c>
      <c r="E6" s="5">
        <f t="shared" si="0"/>
        <v>139230000</v>
      </c>
      <c r="F6" s="5">
        <v>75</v>
      </c>
      <c r="G6" s="5">
        <v>5</v>
      </c>
      <c r="H6" s="5">
        <f t="shared" si="1"/>
        <v>113400000</v>
      </c>
      <c r="I6" s="5">
        <f t="shared" si="2"/>
        <v>252630000</v>
      </c>
    </row>
    <row r="7" spans="1:9">
      <c r="A7" s="4" t="s">
        <v>65</v>
      </c>
      <c r="B7" s="5">
        <v>950000</v>
      </c>
      <c r="C7" s="5">
        <v>132</v>
      </c>
      <c r="D7" s="5">
        <v>9</v>
      </c>
      <c r="E7" s="5">
        <f t="shared" si="0"/>
        <v>99320000</v>
      </c>
      <c r="F7" s="5">
        <v>112</v>
      </c>
      <c r="G7" s="5">
        <v>3</v>
      </c>
      <c r="H7" s="5">
        <f t="shared" si="1"/>
        <v>93200000</v>
      </c>
      <c r="I7" s="5">
        <f t="shared" si="2"/>
        <v>192520000</v>
      </c>
    </row>
    <row r="8" spans="1:9">
      <c r="A8" s="4" t="s">
        <v>66</v>
      </c>
      <c r="B8" s="5">
        <v>680000</v>
      </c>
      <c r="C8" s="5">
        <v>75</v>
      </c>
      <c r="D8" s="5">
        <v>2</v>
      </c>
      <c r="E8" s="5">
        <f t="shared" si="0"/>
        <v>42190000</v>
      </c>
      <c r="F8" s="5">
        <v>34</v>
      </c>
      <c r="G8" s="5">
        <v>2</v>
      </c>
      <c r="H8" s="5">
        <f t="shared" si="1"/>
        <v>19580000</v>
      </c>
      <c r="I8" s="5">
        <f t="shared" si="2"/>
        <v>61770000</v>
      </c>
    </row>
    <row r="9" spans="1:9">
      <c r="A9" s="4" t="s">
        <v>67</v>
      </c>
      <c r="B9" s="5">
        <v>260000</v>
      </c>
      <c r="C9" s="5">
        <v>245</v>
      </c>
      <c r="D9" s="5">
        <v>8</v>
      </c>
      <c r="E9" s="5">
        <f t="shared" si="0"/>
        <v>52380000</v>
      </c>
      <c r="F9" s="5">
        <v>152</v>
      </c>
      <c r="G9" s="5">
        <v>8</v>
      </c>
      <c r="H9" s="5">
        <f t="shared" si="1"/>
        <v>33700000</v>
      </c>
      <c r="I9" s="5">
        <f t="shared" si="2"/>
        <v>86080000</v>
      </c>
    </row>
    <row r="10" spans="1:9">
      <c r="A10" s="4" t="s">
        <v>68</v>
      </c>
      <c r="B10" s="5">
        <v>680000</v>
      </c>
      <c r="C10" s="5">
        <v>49</v>
      </c>
      <c r="D10" s="5">
        <v>6</v>
      </c>
      <c r="E10" s="5">
        <f t="shared" si="0"/>
        <v>24850000</v>
      </c>
      <c r="F10" s="5">
        <v>39</v>
      </c>
      <c r="G10" s="5">
        <v>7</v>
      </c>
      <c r="H10" s="5">
        <f t="shared" si="1"/>
        <v>19580000</v>
      </c>
      <c r="I10" s="5">
        <f t="shared" si="2"/>
        <v>44430000</v>
      </c>
    </row>
    <row r="11" spans="1:9">
      <c r="A11" s="4" t="s">
        <v>69</v>
      </c>
      <c r="B11" s="5">
        <v>2500000</v>
      </c>
      <c r="C11" s="5">
        <v>168</v>
      </c>
      <c r="D11" s="5">
        <v>4</v>
      </c>
      <c r="E11" s="5">
        <f t="shared" si="0"/>
        <v>348500000</v>
      </c>
      <c r="F11" s="5">
        <v>132</v>
      </c>
      <c r="G11" s="5">
        <v>6</v>
      </c>
      <c r="H11" s="5">
        <f t="shared" si="1"/>
        <v>283500000</v>
      </c>
      <c r="I11" s="5">
        <f t="shared" si="2"/>
        <v>632000000</v>
      </c>
    </row>
    <row r="12" spans="1:9">
      <c r="A12" s="4" t="s">
        <v>70</v>
      </c>
      <c r="B12" s="5">
        <v>2200000</v>
      </c>
      <c r="C12" s="5">
        <v>111</v>
      </c>
      <c r="D12" s="5">
        <v>4</v>
      </c>
      <c r="E12" s="5">
        <f t="shared" si="0"/>
        <v>200090000</v>
      </c>
      <c r="F12" s="5">
        <v>67</v>
      </c>
      <c r="G12" s="5">
        <v>2</v>
      </c>
      <c r="H12" s="5">
        <f t="shared" si="1"/>
        <v>128700000</v>
      </c>
      <c r="I12" s="5">
        <f t="shared" si="2"/>
        <v>328790000</v>
      </c>
    </row>
    <row r="13" spans="1:9">
      <c r="A13" s="4" t="s">
        <v>71</v>
      </c>
      <c r="B13" s="5">
        <v>1200000</v>
      </c>
      <c r="C13" s="5">
        <v>59</v>
      </c>
      <c r="D13" s="5">
        <v>8</v>
      </c>
      <c r="E13" s="5">
        <f t="shared" si="0"/>
        <v>52020000</v>
      </c>
      <c r="F13" s="5">
        <v>32</v>
      </c>
      <c r="G13" s="5">
        <v>6</v>
      </c>
      <c r="H13" s="5">
        <f t="shared" si="1"/>
        <v>28080000</v>
      </c>
      <c r="I13" s="5">
        <f t="shared" si="2"/>
        <v>80100000</v>
      </c>
    </row>
    <row r="14" spans="1:9">
      <c r="A14" s="4" t="s">
        <v>72</v>
      </c>
      <c r="B14" s="5">
        <v>990000</v>
      </c>
      <c r="C14" s="5">
        <v>241</v>
      </c>
      <c r="D14" s="5">
        <v>3</v>
      </c>
      <c r="E14" s="5">
        <f t="shared" si="0"/>
        <v>200280000</v>
      </c>
      <c r="F14" s="5">
        <v>186</v>
      </c>
      <c r="G14" s="5">
        <v>5</v>
      </c>
      <c r="H14" s="5">
        <f t="shared" si="1"/>
        <v>161270000</v>
      </c>
      <c r="I14" s="5">
        <f t="shared" si="2"/>
        <v>361550000</v>
      </c>
    </row>
    <row r="15" spans="1:9">
      <c r="A15" s="4" t="s">
        <v>73</v>
      </c>
      <c r="B15" s="5">
        <v>800000</v>
      </c>
      <c r="C15" s="5">
        <v>229</v>
      </c>
      <c r="D15" s="5">
        <v>7</v>
      </c>
      <c r="E15" s="5">
        <f t="shared" si="0"/>
        <v>150960000</v>
      </c>
      <c r="F15" s="5">
        <v>137</v>
      </c>
      <c r="G15" s="5">
        <v>3</v>
      </c>
      <c r="H15" s="5">
        <f t="shared" si="1"/>
        <v>96480000</v>
      </c>
      <c r="I15" s="5">
        <f t="shared" si="2"/>
        <v>247440000</v>
      </c>
    </row>
    <row r="16" spans="1:9">
      <c r="A16" s="24" t="s">
        <v>74</v>
      </c>
      <c r="B16" s="25"/>
      <c r="C16" s="5">
        <f t="shared" ref="C16:I16" si="3">SUM(C5:C15)</f>
        <v>1529</v>
      </c>
      <c r="D16" s="5">
        <f t="shared" si="3"/>
        <v>60</v>
      </c>
      <c r="E16" s="5">
        <f t="shared" si="3"/>
        <v>1615820000</v>
      </c>
      <c r="F16" s="5">
        <f t="shared" si="3"/>
        <v>1069</v>
      </c>
      <c r="G16" s="5">
        <f t="shared" si="3"/>
        <v>51</v>
      </c>
      <c r="H16" s="5">
        <f t="shared" si="3"/>
        <v>1244790000</v>
      </c>
      <c r="I16" s="5">
        <f t="shared" si="3"/>
        <v>2860610000</v>
      </c>
    </row>
    <row r="18" spans="1:3">
      <c r="A18" s="26" t="s">
        <v>75</v>
      </c>
      <c r="B18" s="26"/>
      <c r="C18" s="26"/>
    </row>
    <row r="19" spans="1:3">
      <c r="A19" s="4" t="s">
        <v>76</v>
      </c>
      <c r="B19" s="4" t="s">
        <v>58</v>
      </c>
      <c r="C19" s="4" t="s">
        <v>59</v>
      </c>
    </row>
    <row r="20" spans="1:3">
      <c r="A20" s="4" t="s">
        <v>77</v>
      </c>
      <c r="B20" s="6">
        <v>0.15</v>
      </c>
      <c r="C20" s="6">
        <v>0.1</v>
      </c>
    </row>
  </sheetData>
  <mergeCells count="8">
    <mergeCell ref="A16:B16"/>
    <mergeCell ref="A18:C18"/>
    <mergeCell ref="A1:I1"/>
    <mergeCell ref="A3:A4"/>
    <mergeCell ref="B3:B4"/>
    <mergeCell ref="C3:E3"/>
    <mergeCell ref="F3:H3"/>
    <mergeCell ref="I3:I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I20"/>
  <sheetViews>
    <sheetView workbookViewId="0"/>
  </sheetViews>
  <sheetFormatPr defaultRowHeight="16.5"/>
  <cols>
    <col min="1" max="1" width="10.25" customWidth="1"/>
    <col min="4" max="4" width="6.25" customWidth="1"/>
    <col min="5" max="5" width="11.25" customWidth="1"/>
    <col min="6" max="6" width="15.875" bestFit="1" customWidth="1"/>
    <col min="7" max="7" width="11.625" bestFit="1" customWidth="1"/>
    <col min="8" max="8" width="12.875" customWidth="1"/>
    <col min="9" max="9" width="12.625" customWidth="1"/>
  </cols>
  <sheetData>
    <row r="1" spans="1:9">
      <c r="A1" t="s">
        <v>79</v>
      </c>
      <c r="B1" t="s">
        <v>80</v>
      </c>
      <c r="H1" t="s">
        <v>81</v>
      </c>
      <c r="I1" s="3">
        <v>45125</v>
      </c>
    </row>
    <row r="2" spans="1:9">
      <c r="A2" s="4" t="s">
        <v>82</v>
      </c>
      <c r="B2" s="4" t="s">
        <v>83</v>
      </c>
      <c r="C2" s="4" t="s">
        <v>84</v>
      </c>
      <c r="D2" s="4" t="s">
        <v>4</v>
      </c>
      <c r="E2" s="4" t="s">
        <v>6</v>
      </c>
      <c r="F2" s="7" t="s">
        <v>85</v>
      </c>
      <c r="G2" s="7" t="s">
        <v>86</v>
      </c>
      <c r="H2" s="4" t="s">
        <v>87</v>
      </c>
      <c r="I2" s="7" t="s">
        <v>88</v>
      </c>
    </row>
    <row r="3" spans="1:9">
      <c r="A3" s="4" t="s">
        <v>89</v>
      </c>
      <c r="B3" s="4" t="s">
        <v>90</v>
      </c>
      <c r="C3" s="4" t="s">
        <v>91</v>
      </c>
      <c r="D3" s="4" t="s">
        <v>92</v>
      </c>
      <c r="E3" s="8">
        <v>42139</v>
      </c>
      <c r="F3" s="9"/>
      <c r="G3" s="5"/>
      <c r="H3" s="5">
        <v>640000</v>
      </c>
      <c r="I3" s="5"/>
    </row>
    <row r="4" spans="1:9">
      <c r="A4" s="4" t="s">
        <v>93</v>
      </c>
      <c r="B4" s="4" t="s">
        <v>94</v>
      </c>
      <c r="C4" s="4" t="s">
        <v>8</v>
      </c>
      <c r="D4" s="4" t="s">
        <v>10</v>
      </c>
      <c r="E4" s="8">
        <v>44357</v>
      </c>
      <c r="F4" s="9"/>
      <c r="G4" s="5"/>
      <c r="H4" s="5">
        <v>375000</v>
      </c>
      <c r="I4" s="5"/>
    </row>
    <row r="5" spans="1:9">
      <c r="A5" s="4" t="s">
        <v>95</v>
      </c>
      <c r="B5" s="4" t="s">
        <v>96</v>
      </c>
      <c r="C5" s="4" t="s">
        <v>91</v>
      </c>
      <c r="D5" s="4" t="s">
        <v>15</v>
      </c>
      <c r="E5" s="8">
        <v>44489</v>
      </c>
      <c r="F5" s="9"/>
      <c r="G5" s="5"/>
      <c r="H5" s="5">
        <v>200000</v>
      </c>
      <c r="I5" s="5"/>
    </row>
    <row r="6" spans="1:9">
      <c r="A6" s="4" t="s">
        <v>97</v>
      </c>
      <c r="B6" s="4" t="s">
        <v>98</v>
      </c>
      <c r="C6" s="4" t="s">
        <v>12</v>
      </c>
      <c r="D6" s="4" t="s">
        <v>92</v>
      </c>
      <c r="E6" s="8">
        <v>41351</v>
      </c>
      <c r="F6" s="9"/>
      <c r="G6" s="5"/>
      <c r="H6" s="5">
        <v>560000</v>
      </c>
      <c r="I6" s="5"/>
    </row>
    <row r="7" spans="1:9">
      <c r="A7" s="4" t="s">
        <v>99</v>
      </c>
      <c r="B7" s="4" t="s">
        <v>100</v>
      </c>
      <c r="C7" s="4" t="s">
        <v>8</v>
      </c>
      <c r="D7" s="4" t="s">
        <v>15</v>
      </c>
      <c r="E7" s="8">
        <v>44340</v>
      </c>
      <c r="F7" s="9"/>
      <c r="G7" s="5"/>
      <c r="H7" s="5">
        <v>190000</v>
      </c>
      <c r="I7" s="5"/>
    </row>
    <row r="8" spans="1:9">
      <c r="A8" s="4" t="s">
        <v>101</v>
      </c>
      <c r="B8" s="4" t="s">
        <v>102</v>
      </c>
      <c r="C8" s="4" t="s">
        <v>12</v>
      </c>
      <c r="D8" s="4" t="s">
        <v>15</v>
      </c>
      <c r="E8" s="8">
        <v>43758</v>
      </c>
      <c r="F8" s="9"/>
      <c r="G8" s="5"/>
      <c r="H8" s="5">
        <v>200000</v>
      </c>
      <c r="I8" s="5"/>
    </row>
    <row r="9" spans="1:9">
      <c r="A9" s="4" t="s">
        <v>103</v>
      </c>
      <c r="B9" s="4" t="s">
        <v>104</v>
      </c>
      <c r="C9" s="4" t="s">
        <v>91</v>
      </c>
      <c r="D9" s="4" t="s">
        <v>10</v>
      </c>
      <c r="E9" s="8">
        <v>44331</v>
      </c>
      <c r="F9" s="9"/>
      <c r="G9" s="5"/>
      <c r="H9" s="5">
        <v>360000</v>
      </c>
      <c r="I9" s="5"/>
    </row>
    <row r="10" spans="1:9">
      <c r="A10" s="4" t="s">
        <v>105</v>
      </c>
      <c r="B10" s="4" t="s">
        <v>106</v>
      </c>
      <c r="C10" s="4" t="s">
        <v>12</v>
      </c>
      <c r="D10" s="4" t="s">
        <v>10</v>
      </c>
      <c r="E10" s="8">
        <v>44722</v>
      </c>
      <c r="F10" s="9"/>
      <c r="G10" s="5"/>
      <c r="H10" s="5">
        <v>375000</v>
      </c>
      <c r="I10" s="5"/>
    </row>
    <row r="11" spans="1:9">
      <c r="A11" s="4" t="s">
        <v>107</v>
      </c>
      <c r="B11" s="4" t="s">
        <v>108</v>
      </c>
      <c r="C11" s="4" t="s">
        <v>8</v>
      </c>
      <c r="D11" s="4" t="s">
        <v>92</v>
      </c>
      <c r="E11" s="8">
        <v>43710</v>
      </c>
      <c r="F11" s="9"/>
      <c r="G11" s="5"/>
      <c r="H11" s="5">
        <v>520000</v>
      </c>
      <c r="I11" s="5"/>
    </row>
    <row r="13" spans="1:9">
      <c r="A13" s="9" t="s">
        <v>109</v>
      </c>
      <c r="B13" s="5">
        <v>50000</v>
      </c>
      <c r="E13" t="s">
        <v>110</v>
      </c>
    </row>
    <row r="14" spans="1:9">
      <c r="E14" s="4" t="s">
        <v>84</v>
      </c>
      <c r="F14" s="7" t="s">
        <v>114</v>
      </c>
      <c r="G14" s="7" t="s">
        <v>111</v>
      </c>
    </row>
    <row r="15" spans="1:9">
      <c r="A15" t="s">
        <v>112</v>
      </c>
      <c r="E15" s="4" t="s">
        <v>91</v>
      </c>
      <c r="F15" s="5"/>
      <c r="G15" s="5"/>
    </row>
    <row r="16" spans="1:9">
      <c r="A16" s="4" t="s">
        <v>85</v>
      </c>
      <c r="B16" s="4" t="s">
        <v>113</v>
      </c>
      <c r="E16" s="4" t="s">
        <v>8</v>
      </c>
      <c r="F16" s="5"/>
      <c r="G16" s="5"/>
    </row>
    <row r="17" spans="1:7">
      <c r="A17" s="9">
        <v>1</v>
      </c>
      <c r="B17" s="9">
        <v>0.02</v>
      </c>
      <c r="E17" s="4" t="s">
        <v>12</v>
      </c>
      <c r="F17" s="5"/>
      <c r="G17" s="5"/>
    </row>
    <row r="18" spans="1:7">
      <c r="A18" s="9">
        <v>5</v>
      </c>
      <c r="B18" s="9">
        <v>0.05</v>
      </c>
    </row>
    <row r="19" spans="1:7">
      <c r="A19" s="9">
        <v>10</v>
      </c>
      <c r="B19" s="9">
        <v>0.08</v>
      </c>
    </row>
    <row r="20" spans="1:7">
      <c r="A20" s="9">
        <v>15</v>
      </c>
      <c r="B20" s="9">
        <v>0.13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B1:H14"/>
  <sheetViews>
    <sheetView workbookViewId="0"/>
  </sheetViews>
  <sheetFormatPr defaultRowHeight="16.5"/>
  <cols>
    <col min="1" max="1" width="3.25" customWidth="1"/>
    <col min="2" max="2" width="12.625" customWidth="1"/>
    <col min="3" max="3" width="10.875" customWidth="1"/>
    <col min="4" max="4" width="9" customWidth="1"/>
  </cols>
  <sheetData>
    <row r="1" spans="2:8">
      <c r="B1" s="10" t="s">
        <v>115</v>
      </c>
      <c r="C1" s="10"/>
    </row>
    <row r="3" spans="2:8">
      <c r="B3" s="4" t="s">
        <v>116</v>
      </c>
      <c r="C3" s="9">
        <v>8.6</v>
      </c>
    </row>
    <row r="4" spans="2:8">
      <c r="B4" s="4" t="s">
        <v>117</v>
      </c>
      <c r="C4" s="9">
        <v>6.2</v>
      </c>
      <c r="E4" s="28" t="s">
        <v>118</v>
      </c>
      <c r="F4" s="28"/>
      <c r="G4" s="28"/>
      <c r="H4" s="28"/>
    </row>
    <row r="5" spans="2:8">
      <c r="B5" s="4" t="s">
        <v>119</v>
      </c>
      <c r="C5" s="9">
        <v>9</v>
      </c>
      <c r="E5" s="4" t="s">
        <v>120</v>
      </c>
      <c r="F5" s="4" t="s">
        <v>116</v>
      </c>
      <c r="G5" s="4" t="s">
        <v>117</v>
      </c>
      <c r="H5" s="4" t="s">
        <v>119</v>
      </c>
    </row>
    <row r="6" spans="2:8">
      <c r="B6" s="7" t="s">
        <v>121</v>
      </c>
      <c r="C6" s="9">
        <f>C3*F6+C4*G6+C5*H6</f>
        <v>7.8000000000000007</v>
      </c>
      <c r="E6" s="4" t="s">
        <v>122</v>
      </c>
      <c r="F6" s="11">
        <v>0.2</v>
      </c>
      <c r="G6" s="11">
        <v>0.4</v>
      </c>
      <c r="H6" s="11">
        <v>0.4</v>
      </c>
    </row>
    <row r="8" spans="2:8">
      <c r="D8" s="26" t="s">
        <v>117</v>
      </c>
      <c r="E8" s="26"/>
      <c r="F8" s="26"/>
      <c r="G8" s="26"/>
      <c r="H8" s="26"/>
    </row>
    <row r="9" spans="2:8">
      <c r="D9" s="11">
        <v>0.1</v>
      </c>
      <c r="E9" s="11">
        <v>0.2</v>
      </c>
      <c r="F9" s="11">
        <v>0.3</v>
      </c>
      <c r="G9" s="11">
        <v>0.4</v>
      </c>
      <c r="H9" s="11">
        <v>0.5</v>
      </c>
    </row>
    <row r="10" spans="2:8">
      <c r="B10" s="29" t="s">
        <v>123</v>
      </c>
      <c r="C10" s="11">
        <v>0.5</v>
      </c>
      <c r="D10" s="9"/>
      <c r="E10" s="9"/>
      <c r="F10" s="9"/>
      <c r="G10" s="9"/>
      <c r="H10" s="9"/>
    </row>
    <row r="11" spans="2:8">
      <c r="B11" s="30"/>
      <c r="C11" s="11">
        <v>0.4</v>
      </c>
      <c r="D11" s="9"/>
      <c r="E11" s="9"/>
      <c r="F11" s="9"/>
      <c r="G11" s="9"/>
      <c r="H11" s="9"/>
    </row>
    <row r="12" spans="2:8">
      <c r="B12" s="30"/>
      <c r="C12" s="11">
        <v>0.3</v>
      </c>
      <c r="D12" s="9"/>
      <c r="E12" s="9"/>
      <c r="F12" s="9"/>
      <c r="G12" s="9"/>
      <c r="H12" s="9"/>
    </row>
    <row r="13" spans="2:8">
      <c r="B13" s="30"/>
      <c r="C13" s="11">
        <v>0.2</v>
      </c>
      <c r="D13" s="9"/>
      <c r="E13" s="9"/>
      <c r="F13" s="9"/>
      <c r="G13" s="9"/>
      <c r="H13" s="9"/>
    </row>
    <row r="14" spans="2:8">
      <c r="B14" s="31"/>
      <c r="C14" s="11">
        <v>0.1</v>
      </c>
      <c r="D14" s="9"/>
      <c r="E14" s="9"/>
      <c r="F14" s="9"/>
      <c r="G14" s="9"/>
      <c r="H14" s="9"/>
    </row>
  </sheetData>
  <mergeCells count="3">
    <mergeCell ref="E4:H4"/>
    <mergeCell ref="D8:H8"/>
    <mergeCell ref="B10:B1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D11"/>
  <sheetViews>
    <sheetView workbookViewId="0"/>
  </sheetViews>
  <sheetFormatPr defaultRowHeight="16.5"/>
  <cols>
    <col min="2" max="2" width="11.25" customWidth="1"/>
    <col min="3" max="4" width="11.625" bestFit="1" customWidth="1"/>
    <col min="5" max="5" width="10.375" customWidth="1"/>
    <col min="6" max="6" width="13" customWidth="1"/>
  </cols>
  <sheetData>
    <row r="1" spans="1:4">
      <c r="B1" s="32" t="s">
        <v>124</v>
      </c>
      <c r="C1" s="32"/>
      <c r="D1" s="32"/>
    </row>
    <row r="3" spans="1:4">
      <c r="A3" s="4" t="s">
        <v>83</v>
      </c>
      <c r="B3" s="4" t="s">
        <v>125</v>
      </c>
      <c r="C3" s="4" t="s">
        <v>126</v>
      </c>
      <c r="D3" s="4" t="s">
        <v>127</v>
      </c>
    </row>
    <row r="4" spans="1:4">
      <c r="A4" s="4" t="s">
        <v>128</v>
      </c>
      <c r="B4" s="4" t="s">
        <v>129</v>
      </c>
      <c r="C4" s="4">
        <v>540</v>
      </c>
      <c r="D4" s="4">
        <v>230</v>
      </c>
    </row>
    <row r="5" spans="1:4">
      <c r="A5" s="4" t="s">
        <v>130</v>
      </c>
      <c r="B5" s="4" t="s">
        <v>131</v>
      </c>
      <c r="C5" s="4">
        <v>430</v>
      </c>
      <c r="D5" s="4">
        <v>210</v>
      </c>
    </row>
    <row r="6" spans="1:4">
      <c r="A6" s="4" t="s">
        <v>132</v>
      </c>
      <c r="B6" s="4" t="s">
        <v>133</v>
      </c>
      <c r="C6" s="4">
        <v>120</v>
      </c>
      <c r="D6" s="4">
        <v>180</v>
      </c>
    </row>
    <row r="7" spans="1:4">
      <c r="A7" s="4" t="s">
        <v>134</v>
      </c>
      <c r="B7" s="4" t="s">
        <v>135</v>
      </c>
      <c r="C7" s="4">
        <v>500</v>
      </c>
      <c r="D7" s="4">
        <v>310</v>
      </c>
    </row>
    <row r="8" spans="1:4">
      <c r="A8" s="4" t="s">
        <v>136</v>
      </c>
      <c r="B8" s="4" t="s">
        <v>133</v>
      </c>
      <c r="C8" s="4">
        <v>120</v>
      </c>
      <c r="D8" s="4">
        <v>110</v>
      </c>
    </row>
    <row r="9" spans="1:4">
      <c r="A9" s="4" t="s">
        <v>137</v>
      </c>
      <c r="B9" s="4" t="s">
        <v>131</v>
      </c>
      <c r="C9" s="4">
        <v>480</v>
      </c>
      <c r="D9" s="4">
        <v>310</v>
      </c>
    </row>
    <row r="10" spans="1:4">
      <c r="A10" s="4" t="s">
        <v>138</v>
      </c>
      <c r="B10" s="4" t="s">
        <v>133</v>
      </c>
      <c r="C10" s="4">
        <v>160</v>
      </c>
      <c r="D10" s="4">
        <v>172</v>
      </c>
    </row>
    <row r="11" spans="1:4">
      <c r="A11" s="4" t="s">
        <v>139</v>
      </c>
      <c r="B11" s="4" t="s">
        <v>133</v>
      </c>
      <c r="C11" s="4">
        <v>245</v>
      </c>
      <c r="D11" s="4">
        <v>112</v>
      </c>
    </row>
  </sheetData>
  <mergeCells count="1">
    <mergeCell ref="B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I13"/>
  <sheetViews>
    <sheetView workbookViewId="0"/>
  </sheetViews>
  <sheetFormatPr defaultRowHeight="16.5"/>
  <cols>
    <col min="1" max="1" width="2.625" customWidth="1"/>
    <col min="2" max="2" width="8.75" customWidth="1"/>
    <col min="3" max="7" width="8.875" customWidth="1"/>
    <col min="8" max="9" width="10.125" customWidth="1"/>
  </cols>
  <sheetData>
    <row r="1" spans="1:9">
      <c r="A1" s="12"/>
      <c r="B1" s="12"/>
      <c r="C1" s="12"/>
      <c r="D1" s="12"/>
      <c r="E1" s="12"/>
      <c r="F1" s="12"/>
      <c r="G1" s="12"/>
      <c r="H1" s="12"/>
    </row>
    <row r="2" spans="1:9" ht="17.25">
      <c r="A2" s="12"/>
      <c r="B2" s="13" t="s">
        <v>140</v>
      </c>
      <c r="C2" s="14"/>
      <c r="D2" s="14"/>
      <c r="E2" s="14"/>
      <c r="F2" s="14"/>
      <c r="G2" s="14"/>
      <c r="H2" s="14"/>
    </row>
    <row r="3" spans="1:9">
      <c r="A3" s="12"/>
      <c r="B3" s="15" t="s">
        <v>141</v>
      </c>
      <c r="C3" s="16" t="s">
        <v>142</v>
      </c>
      <c r="D3" s="17" t="s">
        <v>143</v>
      </c>
      <c r="E3" s="17" t="s">
        <v>144</v>
      </c>
      <c r="F3" s="17" t="s">
        <v>145</v>
      </c>
      <c r="G3" s="17" t="s">
        <v>146</v>
      </c>
      <c r="H3" s="17" t="s">
        <v>147</v>
      </c>
      <c r="I3" s="17" t="s">
        <v>148</v>
      </c>
    </row>
    <row r="4" spans="1:9">
      <c r="A4" s="12"/>
      <c r="B4" s="15" t="s">
        <v>149</v>
      </c>
      <c r="C4" s="18" t="s">
        <v>150</v>
      </c>
      <c r="D4" s="19">
        <v>1</v>
      </c>
      <c r="E4" s="20">
        <f>100-(D4*2)</f>
        <v>98</v>
      </c>
      <c r="F4" s="19">
        <v>90</v>
      </c>
      <c r="G4" s="21">
        <v>88</v>
      </c>
      <c r="H4" s="22">
        <f t="shared" ref="H4:H11" si="0">SUM(E4:G4)/3</f>
        <v>92</v>
      </c>
      <c r="I4" s="4">
        <f t="shared" ref="I4:I11" si="1">_xlfn.RANK.EQ(H4,$H$4:$H$11)</f>
        <v>3</v>
      </c>
    </row>
    <row r="5" spans="1:9">
      <c r="A5" s="12"/>
      <c r="B5" s="15" t="s">
        <v>151</v>
      </c>
      <c r="C5" s="18" t="s">
        <v>152</v>
      </c>
      <c r="D5" s="19">
        <v>3</v>
      </c>
      <c r="E5" s="20">
        <v>68</v>
      </c>
      <c r="F5" s="19">
        <v>87</v>
      </c>
      <c r="G5" s="21">
        <v>65</v>
      </c>
      <c r="H5" s="22">
        <f t="shared" si="0"/>
        <v>73.333333333333329</v>
      </c>
      <c r="I5" s="4">
        <f t="shared" si="1"/>
        <v>7</v>
      </c>
    </row>
    <row r="6" spans="1:9">
      <c r="A6" s="12"/>
      <c r="B6" s="15" t="s">
        <v>153</v>
      </c>
      <c r="C6" s="18" t="s">
        <v>154</v>
      </c>
      <c r="D6" s="19">
        <v>2</v>
      </c>
      <c r="E6" s="20">
        <f>100-(D6*2)</f>
        <v>96</v>
      </c>
      <c r="F6" s="19">
        <v>87</v>
      </c>
      <c r="G6" s="21">
        <v>95</v>
      </c>
      <c r="H6" s="22">
        <f t="shared" si="0"/>
        <v>92.666666666666671</v>
      </c>
      <c r="I6" s="4">
        <f t="shared" si="1"/>
        <v>2</v>
      </c>
    </row>
    <row r="7" spans="1:9">
      <c r="A7" s="12"/>
      <c r="B7" s="15" t="s">
        <v>155</v>
      </c>
      <c r="C7" s="18" t="s">
        <v>152</v>
      </c>
      <c r="D7" s="19">
        <v>8</v>
      </c>
      <c r="E7" s="20">
        <f>100-(D7*2)</f>
        <v>84</v>
      </c>
      <c r="F7" s="19">
        <v>78</v>
      </c>
      <c r="G7" s="21">
        <v>80</v>
      </c>
      <c r="H7" s="22">
        <f t="shared" si="0"/>
        <v>80.666666666666671</v>
      </c>
      <c r="I7" s="4">
        <f t="shared" si="1"/>
        <v>5</v>
      </c>
    </row>
    <row r="8" spans="1:9">
      <c r="A8" s="12"/>
      <c r="B8" s="15" t="s">
        <v>156</v>
      </c>
      <c r="C8" s="18" t="s">
        <v>150</v>
      </c>
      <c r="D8" s="19">
        <v>5</v>
      </c>
      <c r="E8" s="20">
        <f>100-(D8*2)</f>
        <v>90</v>
      </c>
      <c r="F8" s="19">
        <v>46</v>
      </c>
      <c r="G8" s="21">
        <v>94</v>
      </c>
      <c r="H8" s="22">
        <f t="shared" si="0"/>
        <v>76.666666666666671</v>
      </c>
      <c r="I8" s="4">
        <f t="shared" si="1"/>
        <v>6</v>
      </c>
    </row>
    <row r="9" spans="1:9">
      <c r="A9" s="12"/>
      <c r="B9" s="15" t="s">
        <v>157</v>
      </c>
      <c r="C9" s="18" t="s">
        <v>154</v>
      </c>
      <c r="D9" s="19">
        <v>6</v>
      </c>
      <c r="E9" s="20">
        <f>100-(D9*2)</f>
        <v>88</v>
      </c>
      <c r="F9" s="19">
        <v>66</v>
      </c>
      <c r="G9" s="21">
        <v>90</v>
      </c>
      <c r="H9" s="22">
        <f t="shared" si="0"/>
        <v>81.333333333333329</v>
      </c>
      <c r="I9" s="4">
        <f t="shared" si="1"/>
        <v>4</v>
      </c>
    </row>
    <row r="10" spans="1:9">
      <c r="A10" s="12"/>
      <c r="B10" s="15" t="s">
        <v>158</v>
      </c>
      <c r="C10" s="18" t="s">
        <v>150</v>
      </c>
      <c r="D10" s="19">
        <v>4</v>
      </c>
      <c r="E10" s="20">
        <v>55</v>
      </c>
      <c r="F10" s="19">
        <v>45</v>
      </c>
      <c r="G10" s="21">
        <v>55</v>
      </c>
      <c r="H10" s="22">
        <f t="shared" si="0"/>
        <v>51.666666666666664</v>
      </c>
      <c r="I10" s="4">
        <f t="shared" si="1"/>
        <v>8</v>
      </c>
    </row>
    <row r="11" spans="1:9">
      <c r="A11" s="12"/>
      <c r="B11" s="15" t="s">
        <v>159</v>
      </c>
      <c r="C11" s="18" t="s">
        <v>152</v>
      </c>
      <c r="D11" s="19">
        <v>2</v>
      </c>
      <c r="E11" s="20">
        <f>100-(D11*2)</f>
        <v>96</v>
      </c>
      <c r="F11" s="19">
        <v>90</v>
      </c>
      <c r="G11" s="21">
        <v>95</v>
      </c>
      <c r="H11" s="22">
        <f t="shared" si="0"/>
        <v>93.666666666666671</v>
      </c>
      <c r="I11" s="4">
        <f t="shared" si="1"/>
        <v>1</v>
      </c>
    </row>
    <row r="13" spans="1:9">
      <c r="A13" s="12"/>
      <c r="B13" s="12"/>
      <c r="C13" s="12"/>
      <c r="D13" s="12"/>
      <c r="E13" s="12"/>
      <c r="F13" s="12"/>
      <c r="G13" s="12"/>
      <c r="H13" s="12"/>
    </row>
  </sheetData>
  <phoneticPr fontId="1" type="noConversion"/>
  <conditionalFormatting sqref="F4:F11 H4:H11">
    <cfRule type="cellIs" dxfId="0" priority="1" stopIfTrue="1" operator="lessThan">
      <formula>1</formula>
    </cfRule>
  </conditionalFormatting>
  <pageMargins left="0.7" right="0.7" top="0.75" bottom="0.75" header="0.3" footer="0.3"/>
  <ignoredErrors>
    <ignoredError sqref="H5 H1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9"/>
  <sheetViews>
    <sheetView workbookViewId="0"/>
  </sheetViews>
  <sheetFormatPr defaultRowHeight="16.5"/>
  <sheetData>
    <row r="1" spans="1:7" ht="19.5">
      <c r="A1" s="23" t="s">
        <v>160</v>
      </c>
    </row>
    <row r="3" spans="1:7">
      <c r="A3" s="2" t="s">
        <v>161</v>
      </c>
      <c r="B3" s="2" t="s">
        <v>1</v>
      </c>
      <c r="C3" s="2" t="s">
        <v>162</v>
      </c>
      <c r="D3" s="2" t="s">
        <v>163</v>
      </c>
      <c r="G3" t="s">
        <v>164</v>
      </c>
    </row>
    <row r="4" spans="1:7">
      <c r="A4" t="s">
        <v>165</v>
      </c>
      <c r="B4" t="s">
        <v>166</v>
      </c>
      <c r="C4">
        <v>100</v>
      </c>
      <c r="D4">
        <v>100</v>
      </c>
      <c r="G4" t="s">
        <v>165</v>
      </c>
    </row>
    <row r="5" spans="1:7">
      <c r="A5" t="s">
        <v>167</v>
      </c>
      <c r="B5" t="s">
        <v>168</v>
      </c>
      <c r="C5">
        <v>80</v>
      </c>
      <c r="D5">
        <v>90</v>
      </c>
      <c r="G5" t="s">
        <v>167</v>
      </c>
    </row>
    <row r="6" spans="1:7">
      <c r="A6" t="s">
        <v>169</v>
      </c>
      <c r="B6" t="s">
        <v>170</v>
      </c>
      <c r="C6">
        <v>88</v>
      </c>
      <c r="D6">
        <v>92</v>
      </c>
      <c r="G6" t="s">
        <v>169</v>
      </c>
    </row>
    <row r="7" spans="1:7">
      <c r="G7" t="s">
        <v>171</v>
      </c>
    </row>
    <row r="8" spans="1:7">
      <c r="G8" t="s">
        <v>172</v>
      </c>
    </row>
    <row r="9" spans="1:7">
      <c r="G9" t="s">
        <v>173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">
          <controlPr defaultSize="0" autoLine="0" r:id="rId4">
            <anchor moveWithCells="1">
              <from>
                <xdr:col>5</xdr:col>
                <xdr:colOff>123825</xdr:colOff>
                <xdr:row>2</xdr:row>
                <xdr:rowOff>0</xdr:rowOff>
              </from>
              <to>
                <xdr:col>5</xdr:col>
                <xdr:colOff>514350</xdr:colOff>
                <xdr:row>8</xdr:row>
                <xdr:rowOff>85725</xdr:rowOff>
              </to>
            </anchor>
          </controlPr>
        </control>
      </mc:Choice>
      <mc:Fallback>
        <control shapeId="2049" r:id="rId3" name="cmd성적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2023-10-05T07:37:20Z</dcterms:modified>
</cp:coreProperties>
</file>