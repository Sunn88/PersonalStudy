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A19C8BD1-B030-418E-9EA5-3FBD33AF3644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" sheetId="1" r:id="rId1"/>
    <sheet name="계산작업" sheetId="2" r:id="rId2"/>
    <sheet name="분석작업-1" sheetId="3" r:id="rId3"/>
    <sheet name="분석작업-2" sheetId="8" r:id="rId4"/>
    <sheet name="기타작업-1" sheetId="5" r:id="rId5"/>
    <sheet name="기타작업-2" sheetId="6" r:id="rId6"/>
    <sheet name="기타작업-3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5" l="1"/>
  <c r="J10" i="5"/>
</calcChain>
</file>

<file path=xl/sharedStrings.xml><?xml version="1.0" encoding="utf-8"?>
<sst xmlns="http://schemas.openxmlformats.org/spreadsheetml/2006/main" count="212" uniqueCount="141">
  <si>
    <t>사원코드</t>
  </si>
  <si>
    <t>호봉</t>
  </si>
  <si>
    <t>직무</t>
  </si>
  <si>
    <t>연봉</t>
  </si>
  <si>
    <t>연월차</t>
  </si>
  <si>
    <t>특근비</t>
  </si>
  <si>
    <t>SG0111</t>
  </si>
  <si>
    <t>수석연구원</t>
  </si>
  <si>
    <t>연구직</t>
  </si>
  <si>
    <t>SG0710</t>
  </si>
  <si>
    <t>선임연구원</t>
  </si>
  <si>
    <t>SG0204</t>
  </si>
  <si>
    <t>책임연구원</t>
  </si>
  <si>
    <t>SG0712</t>
  </si>
  <si>
    <t>SG0812</t>
  </si>
  <si>
    <t>연구원</t>
  </si>
  <si>
    <t>SG0810</t>
  </si>
  <si>
    <t>SG0411</t>
  </si>
  <si>
    <t>과장4호</t>
  </si>
  <si>
    <t>일반직</t>
  </si>
  <si>
    <t>SG0813</t>
  </si>
  <si>
    <t>부장1호</t>
  </si>
  <si>
    <t>SG0205</t>
  </si>
  <si>
    <t>사원3호</t>
  </si>
  <si>
    <t>SG0203</t>
  </si>
  <si>
    <t>대리2호</t>
  </si>
  <si>
    <t>SG0413</t>
  </si>
  <si>
    <t>대리3호</t>
  </si>
  <si>
    <t>SG0206</t>
  </si>
  <si>
    <t>부장2호</t>
  </si>
  <si>
    <t>SG0811</t>
  </si>
  <si>
    <t>과장2호</t>
  </si>
  <si>
    <t>SG0809</t>
  </si>
  <si>
    <t>과장1호</t>
  </si>
  <si>
    <t>급여정산현황</t>
    <phoneticPr fontId="1" type="noConversion"/>
  </si>
  <si>
    <t>[표1]</t>
  </si>
  <si>
    <t>영업사원</t>
  </si>
  <si>
    <t>소속지점</t>
  </si>
  <si>
    <t>직급</t>
  </si>
  <si>
    <t>기본급</t>
  </si>
  <si>
    <t>판매실적</t>
  </si>
  <si>
    <t>성과급</t>
  </si>
  <si>
    <t>지급급여</t>
  </si>
  <si>
    <t>정영일</t>
  </si>
  <si>
    <t>서초</t>
  </si>
  <si>
    <t>2급</t>
  </si>
  <si>
    <t>박찬훈</t>
  </si>
  <si>
    <t>3급</t>
  </si>
  <si>
    <t>이소라</t>
  </si>
  <si>
    <t>강남</t>
  </si>
  <si>
    <t>김종택</t>
  </si>
  <si>
    <t>최수형</t>
  </si>
  <si>
    <t>종로</t>
  </si>
  <si>
    <t>홍길동</t>
  </si>
  <si>
    <t>4급</t>
  </si>
  <si>
    <t>한우규</t>
  </si>
  <si>
    <t>김덕진</t>
  </si>
  <si>
    <t>5급</t>
  </si>
  <si>
    <t>이명섭</t>
  </si>
  <si>
    <t>[표2]</t>
  </si>
  <si>
    <t>세금공제표</t>
  </si>
  <si>
    <t>총급여</t>
  </si>
  <si>
    <t>세금공제율</t>
  </si>
  <si>
    <t>[표3]</t>
  </si>
  <si>
    <t>중앙값</t>
  </si>
  <si>
    <t>성과급 합계</t>
  </si>
  <si>
    <t>인원수</t>
    <phoneticPr fontId="1" type="noConversion"/>
  </si>
  <si>
    <t>고객코드</t>
  </si>
  <si>
    <t>지점명</t>
  </si>
  <si>
    <t>담당자</t>
  </si>
  <si>
    <t>매출금액</t>
  </si>
  <si>
    <t>받은금액</t>
  </si>
  <si>
    <t>미수금</t>
  </si>
  <si>
    <t>할인금액</t>
  </si>
  <si>
    <t>78AU17</t>
  </si>
  <si>
    <t>강서</t>
  </si>
  <si>
    <t>안병찬</t>
  </si>
  <si>
    <t>14AD72</t>
  </si>
  <si>
    <t>강북</t>
  </si>
  <si>
    <t>박형주</t>
  </si>
  <si>
    <t>12AH78</t>
  </si>
  <si>
    <t>78CD11</t>
  </si>
  <si>
    <t>강동</t>
  </si>
  <si>
    <t>채진욱</t>
  </si>
  <si>
    <t>15BC80</t>
  </si>
  <si>
    <t>14BB71</t>
  </si>
  <si>
    <t>15CD70</t>
  </si>
  <si>
    <t>이은주</t>
  </si>
  <si>
    <t>13AG10</t>
  </si>
  <si>
    <t>26AD78</t>
  </si>
  <si>
    <t>12AB58</t>
  </si>
  <si>
    <t>35C256</t>
  </si>
  <si>
    <t>36AB80</t>
  </si>
  <si>
    <t>31BG25</t>
  </si>
  <si>
    <t>98AG10</t>
  </si>
  <si>
    <t>12AC77</t>
  </si>
  <si>
    <t>78CP90</t>
  </si>
  <si>
    <t>[표1]</t>
    <phoneticPr fontId="1" type="noConversion"/>
  </si>
  <si>
    <t>사업소</t>
  </si>
  <si>
    <t>평가</t>
  </si>
  <si>
    <t>초기 설립비</t>
  </si>
  <si>
    <t>추가투입비</t>
  </si>
  <si>
    <t>군포지사</t>
  </si>
  <si>
    <t>B</t>
  </si>
  <si>
    <t>마산지사</t>
  </si>
  <si>
    <t>C</t>
  </si>
  <si>
    <t>대전지사</t>
  </si>
  <si>
    <t>A</t>
  </si>
  <si>
    <t>부산지사</t>
  </si>
  <si>
    <t>강원지사</t>
  </si>
  <si>
    <t>경기지사</t>
  </si>
  <si>
    <t>인천지사</t>
  </si>
  <si>
    <t>평균</t>
  </si>
  <si>
    <t>미</t>
    <phoneticPr fontId="1" type="noConversion"/>
  </si>
  <si>
    <t>도서 대여 관리</t>
  </si>
  <si>
    <t>날짜</t>
  </si>
  <si>
    <t>구분</t>
  </si>
  <si>
    <t>권수</t>
  </si>
  <si>
    <t>금액</t>
  </si>
  <si>
    <t>군인</t>
  </si>
  <si>
    <t>일반</t>
  </si>
  <si>
    <t>학생</t>
  </si>
  <si>
    <t>고객코드 지점명/담당자/매출금액/받은금액/미수금/할인금액/미수정도</t>
  </si>
  <si>
    <t>78AU17 강서/안병찬/94,000/58,280/35,720/1,128/보통</t>
  </si>
  <si>
    <t>14AD72 강북/박형주/110,000/74,800/35,200/1,980/보통</t>
  </si>
  <si>
    <t>12AH78 강서/안병찬/50,000/37,500/12,500/250/보통</t>
  </si>
  <si>
    <t>78CD11 강동/채진욱/19,800/9,504/10,296/-634/적극해결요망</t>
  </si>
  <si>
    <t>15BC80 강동/채진욱/28,000/25,760/2,240/616/보통</t>
  </si>
  <si>
    <t>14BB71 강동/채진욱/18,000/9,900/8,100/-450/적극해결요망</t>
  </si>
  <si>
    <t>15CD70 강남/이은주/79,800/57,456/22,344/958/보통</t>
  </si>
  <si>
    <t>13AG10 강서/안병찬/64,000/42,240/21,760/384/보통</t>
  </si>
  <si>
    <t>26AD78 강남/이은주/84,000/79,800/4,200/2,940/보통</t>
  </si>
  <si>
    <t>12AB58 강동/채진욱/33,000/32,010/990/990/보통</t>
  </si>
  <si>
    <t>78CD11 강동/채진욱/21,000/18,480/2,520/168/보통</t>
  </si>
  <si>
    <t>35C256 강북/박형주/120,000/102,000/18,000/4,200/보통</t>
  </si>
  <si>
    <t>36AB80 강북/박형주/89,000/66,750/22,250/1,335/보통</t>
  </si>
  <si>
    <t>31BG25 강서/안병찬/60,000/58,200/1,800/2,220/보통</t>
  </si>
  <si>
    <t>15BC80 강동/채진욱/26,800/19,028/7,772/27/보통</t>
  </si>
  <si>
    <t>98AG10 강서/안병찬/75,600/45,360/30,240/0/적극해결요망</t>
  </si>
  <si>
    <t>12AC77 강동/채진욱/39,780/31,824/7,956/398/보통</t>
  </si>
  <si>
    <t>78CP90 강동/채진욱/19,000/13,490/5,510/-171/보통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</si>
</sst>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0.0_);[Red]\(0.0\)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u/>
      <sz val="14"/>
      <color theme="1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42" fontId="6" fillId="0" borderId="0" applyFont="0" applyFill="0" applyBorder="0" applyAlignment="0" applyProtection="0"/>
  </cellStyleXfs>
  <cellXfs count="35"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41" fontId="7" fillId="0" borderId="1" xfId="2" applyNumberFormat="1" applyFont="1" applyBorder="1"/>
    <xf numFmtId="42" fontId="7" fillId="0" borderId="1" xfId="3" applyFont="1" applyBorder="1"/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7" fillId="3" borderId="1" xfId="2" applyFont="1" applyFill="1" applyBorder="1"/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1" fontId="10" fillId="0" borderId="1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12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10" fillId="0" borderId="1" xfId="1" applyNumberFormat="1" applyFont="1" applyBorder="1" applyAlignment="1">
      <alignment horizontal="right" vertical="center"/>
    </xf>
    <xf numFmtId="0" fontId="11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4">
    <cellStyle name="쉼표 [0]" xfId="1" builtinId="6"/>
    <cellStyle name="통화 [0] 2" xfId="3" xr:uid="{03AA8C8D-03FF-44D9-B4C3-6B645FDE0B68}"/>
    <cellStyle name="표준" xfId="0" builtinId="0"/>
    <cellStyle name="표준 2" xfId="2" xr:uid="{3F4DEB6F-367B-4020-90FF-0BCF2E49E4E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'기타작업-1'!$I$2</c:f>
              <c:strCache>
                <c:ptCount val="1"/>
                <c:pt idx="0">
                  <c:v>초기 설립비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B87-4CD3-B124-A8C2FF3244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B87-4CD3-B124-A8C2FF3244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B87-4CD3-B124-A8C2FF3244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B87-4CD3-B124-A8C2FF3244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B87-4CD3-B124-A8C2FF3244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B87-4CD3-B124-A8C2FF3244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B87-4CD3-B124-A8C2FF32449B}"/>
              </c:ext>
            </c:extLst>
          </c:dPt>
          <c:cat>
            <c:strRef>
              <c:f>'기타작업-1'!$G$3:$G$9</c:f>
              <c:strCache>
                <c:ptCount val="7"/>
                <c:pt idx="0">
                  <c:v>군포지사</c:v>
                </c:pt>
                <c:pt idx="1">
                  <c:v>마산지사</c:v>
                </c:pt>
                <c:pt idx="2">
                  <c:v>대전지사</c:v>
                </c:pt>
                <c:pt idx="3">
                  <c:v>부산지사</c:v>
                </c:pt>
                <c:pt idx="4">
                  <c:v>강원지사</c:v>
                </c:pt>
                <c:pt idx="5">
                  <c:v>경기지사</c:v>
                </c:pt>
                <c:pt idx="6">
                  <c:v>인천지사</c:v>
                </c:pt>
              </c:strCache>
            </c:strRef>
          </c:cat>
          <c:val>
            <c:numRef>
              <c:f>'기타작업-1'!$I$3:$I$9</c:f>
              <c:numCache>
                <c:formatCode>General</c:formatCode>
                <c:ptCount val="7"/>
                <c:pt idx="0">
                  <c:v>100</c:v>
                </c:pt>
                <c:pt idx="1">
                  <c:v>150</c:v>
                </c:pt>
                <c:pt idx="2">
                  <c:v>230</c:v>
                </c:pt>
                <c:pt idx="3">
                  <c:v>270</c:v>
                </c:pt>
                <c:pt idx="4">
                  <c:v>270</c:v>
                </c:pt>
                <c:pt idx="5">
                  <c:v>280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D-4514-BD45-5ADC04301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5</xdr:col>
      <xdr:colOff>0</xdr:colOff>
      <xdr:row>12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57150</xdr:colOff>
          <xdr:row>2</xdr:row>
          <xdr:rowOff>114300</xdr:rowOff>
        </xdr:to>
        <xdr:sp macro="" textlink="">
          <xdr:nvSpPr>
            <xdr:cNvPr id="2049" name="cmd도서대여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F17"/>
  <sheetViews>
    <sheetView tabSelected="1" workbookViewId="0">
      <selection sqref="A1:F1"/>
    </sheetView>
  </sheetViews>
  <sheetFormatPr defaultRowHeight="16.5"/>
  <cols>
    <col min="2" max="2" width="11" bestFit="1" customWidth="1"/>
    <col min="3" max="3" width="7.125" bestFit="1" customWidth="1"/>
    <col min="4" max="4" width="10.25" customWidth="1"/>
    <col min="5" max="6" width="7.5" customWidth="1"/>
  </cols>
  <sheetData>
    <row r="1" spans="1:6" ht="20.25">
      <c r="A1" s="31" t="s">
        <v>34</v>
      </c>
      <c r="B1" s="32"/>
      <c r="C1" s="32"/>
      <c r="D1" s="32"/>
      <c r="E1" s="32"/>
      <c r="F1" s="32"/>
    </row>
    <row r="3" spans="1:6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>
      <c r="A4" t="s">
        <v>6</v>
      </c>
      <c r="B4" t="s">
        <v>7</v>
      </c>
      <c r="C4" t="s">
        <v>8</v>
      </c>
      <c r="D4">
        <v>38500000</v>
      </c>
      <c r="E4">
        <v>23</v>
      </c>
      <c r="F4">
        <v>120000</v>
      </c>
    </row>
    <row r="5" spans="1:6">
      <c r="A5" t="s">
        <v>9</v>
      </c>
      <c r="B5" t="s">
        <v>10</v>
      </c>
      <c r="C5" t="s">
        <v>8</v>
      </c>
      <c r="D5">
        <v>37500000</v>
      </c>
      <c r="E5">
        <v>17</v>
      </c>
      <c r="F5">
        <v>45200</v>
      </c>
    </row>
    <row r="6" spans="1:6">
      <c r="A6" t="s">
        <v>11</v>
      </c>
      <c r="B6" t="s">
        <v>12</v>
      </c>
      <c r="C6" t="s">
        <v>8</v>
      </c>
      <c r="D6">
        <v>37500000</v>
      </c>
      <c r="E6">
        <v>22</v>
      </c>
      <c r="F6">
        <v>41000</v>
      </c>
    </row>
    <row r="7" spans="1:6">
      <c r="A7" t="s">
        <v>13</v>
      </c>
      <c r="B7" t="s">
        <v>12</v>
      </c>
      <c r="C7" t="s">
        <v>8</v>
      </c>
      <c r="D7">
        <v>35000000</v>
      </c>
      <c r="E7">
        <v>23</v>
      </c>
      <c r="F7">
        <v>64600</v>
      </c>
    </row>
    <row r="8" spans="1:6">
      <c r="A8" t="s">
        <v>14</v>
      </c>
      <c r="B8" t="s">
        <v>15</v>
      </c>
      <c r="C8" t="s">
        <v>8</v>
      </c>
      <c r="D8">
        <v>28500000</v>
      </c>
      <c r="E8">
        <v>17</v>
      </c>
      <c r="F8">
        <v>32100</v>
      </c>
    </row>
    <row r="9" spans="1:6">
      <c r="A9" t="s">
        <v>16</v>
      </c>
      <c r="B9" t="s">
        <v>15</v>
      </c>
      <c r="C9" t="s">
        <v>8</v>
      </c>
      <c r="D9">
        <v>27000000</v>
      </c>
      <c r="E9">
        <v>16</v>
      </c>
      <c r="F9">
        <v>37100</v>
      </c>
    </row>
    <row r="10" spans="1:6">
      <c r="A10" t="s">
        <v>17</v>
      </c>
      <c r="B10" t="s">
        <v>18</v>
      </c>
      <c r="C10" t="s">
        <v>19</v>
      </c>
      <c r="D10">
        <v>35500000</v>
      </c>
      <c r="E10">
        <v>23</v>
      </c>
      <c r="F10">
        <v>51500</v>
      </c>
    </row>
    <row r="11" spans="1:6">
      <c r="A11" t="s">
        <v>20</v>
      </c>
      <c r="B11" t="s">
        <v>21</v>
      </c>
      <c r="C11" t="s">
        <v>19</v>
      </c>
      <c r="D11">
        <v>34500000</v>
      </c>
      <c r="E11">
        <v>22</v>
      </c>
      <c r="F11">
        <v>92600</v>
      </c>
    </row>
    <row r="12" spans="1:6">
      <c r="A12" t="s">
        <v>22</v>
      </c>
      <c r="B12" t="s">
        <v>23</v>
      </c>
      <c r="C12" t="s">
        <v>19</v>
      </c>
      <c r="D12">
        <v>30000000</v>
      </c>
      <c r="E12">
        <v>17</v>
      </c>
      <c r="F12">
        <v>46400</v>
      </c>
    </row>
    <row r="13" spans="1:6">
      <c r="A13" t="s">
        <v>24</v>
      </c>
      <c r="B13" t="s">
        <v>25</v>
      </c>
      <c r="C13" t="s">
        <v>19</v>
      </c>
      <c r="D13">
        <v>29250000</v>
      </c>
      <c r="E13">
        <v>18</v>
      </c>
      <c r="F13">
        <v>18800</v>
      </c>
    </row>
    <row r="14" spans="1:6">
      <c r="A14" t="s">
        <v>26</v>
      </c>
      <c r="B14" t="s">
        <v>27</v>
      </c>
      <c r="C14" t="s">
        <v>19</v>
      </c>
      <c r="D14">
        <v>28500000</v>
      </c>
      <c r="E14">
        <v>19</v>
      </c>
      <c r="F14">
        <v>33800</v>
      </c>
    </row>
    <row r="15" spans="1:6">
      <c r="A15" t="s">
        <v>28</v>
      </c>
      <c r="B15" t="s">
        <v>29</v>
      </c>
      <c r="C15" t="s">
        <v>19</v>
      </c>
      <c r="D15">
        <v>27000000</v>
      </c>
      <c r="E15">
        <v>18</v>
      </c>
      <c r="F15">
        <v>38700</v>
      </c>
    </row>
    <row r="16" spans="1:6">
      <c r="A16" t="s">
        <v>30</v>
      </c>
      <c r="B16" t="s">
        <v>31</v>
      </c>
      <c r="C16" t="s">
        <v>19</v>
      </c>
      <c r="D16">
        <v>26000000</v>
      </c>
      <c r="E16">
        <v>21</v>
      </c>
      <c r="F16">
        <v>2600</v>
      </c>
    </row>
    <row r="17" spans="1:6">
      <c r="A17" t="s">
        <v>32</v>
      </c>
      <c r="B17" t="s">
        <v>33</v>
      </c>
      <c r="C17" t="s">
        <v>19</v>
      </c>
      <c r="D17">
        <v>25000000</v>
      </c>
      <c r="E17">
        <v>20</v>
      </c>
      <c r="F17">
        <v>67700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G23"/>
  <sheetViews>
    <sheetView workbookViewId="0"/>
  </sheetViews>
  <sheetFormatPr defaultRowHeight="16.5"/>
  <cols>
    <col min="1" max="2" width="11" bestFit="1" customWidth="1"/>
    <col min="3" max="3" width="12.625" customWidth="1"/>
    <col min="4" max="4" width="11" customWidth="1"/>
    <col min="6" max="6" width="14.125" customWidth="1"/>
    <col min="7" max="7" width="11.5" customWidth="1"/>
  </cols>
  <sheetData>
    <row r="1" spans="1:7">
      <c r="A1" t="s">
        <v>35</v>
      </c>
    </row>
    <row r="2" spans="1:7">
      <c r="A2" s="2" t="s">
        <v>36</v>
      </c>
      <c r="B2" s="2" t="s">
        <v>37</v>
      </c>
      <c r="C2" s="2" t="s">
        <v>38</v>
      </c>
      <c r="D2" s="2" t="s">
        <v>39</v>
      </c>
      <c r="E2" s="2" t="s">
        <v>40</v>
      </c>
      <c r="F2" s="3" t="s">
        <v>41</v>
      </c>
      <c r="G2" s="3" t="s">
        <v>42</v>
      </c>
    </row>
    <row r="3" spans="1:7">
      <c r="A3" s="2" t="s">
        <v>43</v>
      </c>
      <c r="B3" s="2" t="s">
        <v>44</v>
      </c>
      <c r="C3" s="2" t="s">
        <v>45</v>
      </c>
      <c r="D3" s="4">
        <v>5000</v>
      </c>
      <c r="E3" s="4">
        <v>28000</v>
      </c>
      <c r="F3" s="5"/>
      <c r="G3" s="6"/>
    </row>
    <row r="4" spans="1:7">
      <c r="A4" s="2" t="s">
        <v>46</v>
      </c>
      <c r="B4" s="2" t="s">
        <v>44</v>
      </c>
      <c r="C4" s="2" t="s">
        <v>47</v>
      </c>
      <c r="D4" s="4">
        <v>4000</v>
      </c>
      <c r="E4" s="4">
        <v>16000</v>
      </c>
      <c r="F4" s="5"/>
      <c r="G4" s="6"/>
    </row>
    <row r="5" spans="1:7">
      <c r="A5" s="2" t="s">
        <v>48</v>
      </c>
      <c r="B5" s="2" t="s">
        <v>49</v>
      </c>
      <c r="C5" s="2" t="s">
        <v>47</v>
      </c>
      <c r="D5" s="4">
        <v>1000</v>
      </c>
      <c r="E5" s="4">
        <v>22000</v>
      </c>
      <c r="F5" s="5"/>
      <c r="G5" s="6"/>
    </row>
    <row r="6" spans="1:7">
      <c r="A6" s="2" t="s">
        <v>50</v>
      </c>
      <c r="B6" s="2" t="s">
        <v>44</v>
      </c>
      <c r="C6" s="2" t="s">
        <v>47</v>
      </c>
      <c r="D6" s="4">
        <v>4000</v>
      </c>
      <c r="E6" s="4">
        <v>5000</v>
      </c>
      <c r="F6" s="5"/>
      <c r="G6" s="6"/>
    </row>
    <row r="7" spans="1:7">
      <c r="A7" s="2" t="s">
        <v>51</v>
      </c>
      <c r="B7" s="2" t="s">
        <v>52</v>
      </c>
      <c r="C7" s="2" t="s">
        <v>47</v>
      </c>
      <c r="D7" s="4">
        <v>4000</v>
      </c>
      <c r="E7" s="4">
        <v>3000</v>
      </c>
      <c r="F7" s="5"/>
      <c r="G7" s="6"/>
    </row>
    <row r="8" spans="1:7">
      <c r="A8" s="2" t="s">
        <v>53</v>
      </c>
      <c r="B8" s="2" t="s">
        <v>52</v>
      </c>
      <c r="C8" s="2" t="s">
        <v>54</v>
      </c>
      <c r="D8" s="4">
        <v>3000</v>
      </c>
      <c r="E8" s="4">
        <v>7000</v>
      </c>
      <c r="F8" s="5"/>
      <c r="G8" s="6"/>
    </row>
    <row r="9" spans="1:7">
      <c r="A9" s="2" t="s">
        <v>55</v>
      </c>
      <c r="B9" s="2" t="s">
        <v>52</v>
      </c>
      <c r="C9" s="2" t="s">
        <v>54</v>
      </c>
      <c r="D9" s="4">
        <v>3000</v>
      </c>
      <c r="E9" s="4">
        <v>32000</v>
      </c>
      <c r="F9" s="5"/>
      <c r="G9" s="6"/>
    </row>
    <row r="10" spans="1:7">
      <c r="A10" s="2" t="s">
        <v>56</v>
      </c>
      <c r="B10" s="2" t="s">
        <v>49</v>
      </c>
      <c r="C10" s="2" t="s">
        <v>57</v>
      </c>
      <c r="D10" s="4">
        <v>1000</v>
      </c>
      <c r="E10" s="4">
        <v>6000</v>
      </c>
      <c r="F10" s="5"/>
      <c r="G10" s="6"/>
    </row>
    <row r="11" spans="1:7">
      <c r="A11" s="2" t="s">
        <v>58</v>
      </c>
      <c r="B11" s="2" t="s">
        <v>44</v>
      </c>
      <c r="C11" s="2" t="s">
        <v>57</v>
      </c>
      <c r="D11" s="4">
        <v>1000</v>
      </c>
      <c r="E11" s="4">
        <v>15000</v>
      </c>
      <c r="F11" s="5"/>
      <c r="G11" s="6"/>
    </row>
    <row r="13" spans="1:7">
      <c r="A13" t="s">
        <v>59</v>
      </c>
      <c r="B13" t="s">
        <v>60</v>
      </c>
    </row>
    <row r="14" spans="1:7">
      <c r="A14" s="7" t="s">
        <v>61</v>
      </c>
      <c r="B14" s="8">
        <v>1</v>
      </c>
      <c r="C14" s="4">
        <v>3000</v>
      </c>
      <c r="D14" s="4">
        <v>6000</v>
      </c>
      <c r="E14" s="4">
        <v>9000</v>
      </c>
    </row>
    <row r="15" spans="1:7">
      <c r="A15" s="7" t="s">
        <v>62</v>
      </c>
      <c r="B15" s="9">
        <v>0</v>
      </c>
      <c r="C15" s="9">
        <v>0.05</v>
      </c>
      <c r="D15" s="9">
        <v>0.1</v>
      </c>
      <c r="E15" s="9">
        <v>0.15</v>
      </c>
    </row>
    <row r="17" spans="1:6">
      <c r="A17" t="s">
        <v>63</v>
      </c>
    </row>
    <row r="18" spans="1:6">
      <c r="A18" s="2" t="s">
        <v>38</v>
      </c>
      <c r="B18" s="3" t="s">
        <v>64</v>
      </c>
      <c r="C18" s="3" t="s">
        <v>65</v>
      </c>
      <c r="E18" s="10" t="s">
        <v>66</v>
      </c>
    </row>
    <row r="19" spans="1:6">
      <c r="A19" s="2">
        <v>2</v>
      </c>
      <c r="B19" s="11"/>
      <c r="C19" s="11"/>
      <c r="E19" s="8"/>
    </row>
    <row r="20" spans="1:6">
      <c r="A20" s="2">
        <v>3</v>
      </c>
      <c r="B20" s="11"/>
      <c r="C20" s="11"/>
    </row>
    <row r="21" spans="1:6">
      <c r="A21" s="2">
        <v>4</v>
      </c>
      <c r="B21" s="11"/>
      <c r="C21" s="11"/>
      <c r="E21" s="12"/>
      <c r="F21" s="12"/>
    </row>
    <row r="22" spans="1:6">
      <c r="A22" s="2">
        <v>5</v>
      </c>
      <c r="B22" s="11"/>
      <c r="C22" s="11"/>
      <c r="E22" s="12"/>
      <c r="F22" s="12"/>
    </row>
    <row r="23" spans="1:6">
      <c r="E23" s="10"/>
      <c r="F23" s="10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759C8-2F8D-4977-9A39-DDB3715379DB}">
  <sheetPr codeName="Sheet8"/>
  <dimension ref="A2:A23"/>
  <sheetViews>
    <sheetView workbookViewId="0"/>
  </sheetViews>
  <sheetFormatPr defaultRowHeight="16.5"/>
  <cols>
    <col min="1" max="1" width="9.25" customWidth="1"/>
    <col min="2" max="2" width="7.625" customWidth="1"/>
    <col min="3" max="3" width="12.75" customWidth="1"/>
    <col min="4" max="5" width="10.125" customWidth="1"/>
    <col min="6" max="6" width="9.375" customWidth="1"/>
    <col min="7" max="7" width="10.375" customWidth="1"/>
    <col min="8" max="8" width="13" bestFit="1" customWidth="1"/>
  </cols>
  <sheetData>
    <row r="2" spans="1:1">
      <c r="A2" t="s">
        <v>97</v>
      </c>
    </row>
    <row r="3" spans="1:1">
      <c r="A3" t="s">
        <v>122</v>
      </c>
    </row>
    <row r="4" spans="1:1">
      <c r="A4" t="s">
        <v>123</v>
      </c>
    </row>
    <row r="5" spans="1:1">
      <c r="A5" t="s">
        <v>124</v>
      </c>
    </row>
    <row r="6" spans="1:1">
      <c r="A6" t="s">
        <v>125</v>
      </c>
    </row>
    <row r="7" spans="1:1">
      <c r="A7" t="s">
        <v>126</v>
      </c>
    </row>
    <row r="8" spans="1:1">
      <c r="A8" t="s">
        <v>127</v>
      </c>
    </row>
    <row r="9" spans="1:1">
      <c r="A9" t="s">
        <v>128</v>
      </c>
    </row>
    <row r="10" spans="1:1">
      <c r="A10" t="s">
        <v>129</v>
      </c>
    </row>
    <row r="11" spans="1:1">
      <c r="A11" t="s">
        <v>130</v>
      </c>
    </row>
    <row r="12" spans="1:1">
      <c r="A12" t="s">
        <v>131</v>
      </c>
    </row>
    <row r="13" spans="1:1">
      <c r="A13" t="s">
        <v>132</v>
      </c>
    </row>
    <row r="14" spans="1:1">
      <c r="A14" t="s">
        <v>133</v>
      </c>
    </row>
    <row r="15" spans="1:1">
      <c r="A15" t="s">
        <v>126</v>
      </c>
    </row>
    <row r="16" spans="1:1">
      <c r="A16" t="s">
        <v>134</v>
      </c>
    </row>
    <row r="17" spans="1:1">
      <c r="A17" t="s">
        <v>135</v>
      </c>
    </row>
    <row r="18" spans="1:1">
      <c r="A18" t="s">
        <v>136</v>
      </c>
    </row>
    <row r="19" spans="1:1">
      <c r="A19" t="s">
        <v>137</v>
      </c>
    </row>
    <row r="20" spans="1:1">
      <c r="A20" t="s">
        <v>138</v>
      </c>
    </row>
    <row r="21" spans="1:1">
      <c r="A21" t="s">
        <v>139</v>
      </c>
    </row>
    <row r="22" spans="1:1">
      <c r="A22" t="s">
        <v>136</v>
      </c>
    </row>
    <row r="23" spans="1:1">
      <c r="A23" t="s">
        <v>140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G1:J10"/>
  <sheetViews>
    <sheetView workbookViewId="0"/>
  </sheetViews>
  <sheetFormatPr defaultRowHeight="16.5"/>
  <cols>
    <col min="1" max="5" width="10.625" customWidth="1"/>
    <col min="6" max="6" width="2.75" customWidth="1"/>
    <col min="8" max="8" width="5.25" bestFit="1" customWidth="1"/>
    <col min="9" max="9" width="11.625" bestFit="1" customWidth="1"/>
    <col min="10" max="10" width="11" bestFit="1" customWidth="1"/>
  </cols>
  <sheetData>
    <row r="1" spans="7:10" ht="17.25" thickBot="1"/>
    <row r="2" spans="7:10" ht="17.25" thickBot="1">
      <c r="G2" s="16" t="s">
        <v>98</v>
      </c>
      <c r="H2" s="17" t="s">
        <v>99</v>
      </c>
      <c r="I2" s="17" t="s">
        <v>100</v>
      </c>
      <c r="J2" s="18" t="s">
        <v>101</v>
      </c>
    </row>
    <row r="3" spans="7:10" ht="17.25" thickTop="1">
      <c r="G3" s="19" t="s">
        <v>102</v>
      </c>
      <c r="H3" s="20" t="s">
        <v>103</v>
      </c>
      <c r="I3" s="20">
        <v>100</v>
      </c>
      <c r="J3" s="21">
        <v>20</v>
      </c>
    </row>
    <row r="4" spans="7:10">
      <c r="G4" s="22" t="s">
        <v>104</v>
      </c>
      <c r="H4" s="2" t="s">
        <v>105</v>
      </c>
      <c r="I4" s="2">
        <v>150</v>
      </c>
      <c r="J4" s="23">
        <v>30</v>
      </c>
    </row>
    <row r="5" spans="7:10">
      <c r="G5" s="22" t="s">
        <v>106</v>
      </c>
      <c r="H5" s="2" t="s">
        <v>107</v>
      </c>
      <c r="I5" s="2">
        <v>230</v>
      </c>
      <c r="J5" s="23">
        <v>100</v>
      </c>
    </row>
    <row r="6" spans="7:10">
      <c r="G6" s="22" t="s">
        <v>108</v>
      </c>
      <c r="H6" s="2" t="s">
        <v>103</v>
      </c>
      <c r="I6" s="2">
        <v>270</v>
      </c>
      <c r="J6" s="23">
        <v>110</v>
      </c>
    </row>
    <row r="7" spans="7:10">
      <c r="G7" s="22" t="s">
        <v>109</v>
      </c>
      <c r="H7" s="2" t="s">
        <v>103</v>
      </c>
      <c r="I7" s="2">
        <v>270</v>
      </c>
      <c r="J7" s="23">
        <v>90</v>
      </c>
    </row>
    <row r="8" spans="7:10">
      <c r="G8" s="22" t="s">
        <v>110</v>
      </c>
      <c r="H8" s="2" t="s">
        <v>107</v>
      </c>
      <c r="I8" s="2">
        <v>280</v>
      </c>
      <c r="J8" s="23">
        <v>70</v>
      </c>
    </row>
    <row r="9" spans="7:10">
      <c r="G9" s="22" t="s">
        <v>111</v>
      </c>
      <c r="H9" s="2" t="s">
        <v>105</v>
      </c>
      <c r="I9" s="2">
        <v>200</v>
      </c>
      <c r="J9" s="23">
        <v>30</v>
      </c>
    </row>
    <row r="10" spans="7:10" ht="17.25" thickBot="1">
      <c r="G10" s="33" t="s">
        <v>112</v>
      </c>
      <c r="H10" s="34"/>
      <c r="I10" s="24">
        <f>AVERAGE(I3:I9)</f>
        <v>214.28571428571428</v>
      </c>
      <c r="J10" s="25">
        <f>AVERAGE(J3:J9)</f>
        <v>64.285714285714292</v>
      </c>
    </row>
  </sheetData>
  <mergeCells count="1">
    <mergeCell ref="G10:H10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A2:G23"/>
  <sheetViews>
    <sheetView workbookViewId="0"/>
  </sheetViews>
  <sheetFormatPr defaultRowHeight="16.5"/>
  <cols>
    <col min="1" max="1" width="8" bestFit="1" customWidth="1"/>
    <col min="2" max="2" width="6.375" bestFit="1" customWidth="1"/>
    <col min="3" max="3" width="9.625" customWidth="1"/>
    <col min="4" max="5" width="9.375" bestFit="1" customWidth="1"/>
    <col min="6" max="6" width="11.25" customWidth="1"/>
    <col min="7" max="7" width="13.875" customWidth="1"/>
  </cols>
  <sheetData>
    <row r="2" spans="1:7">
      <c r="A2" t="s">
        <v>97</v>
      </c>
    </row>
    <row r="3" spans="1:7">
      <c r="A3" s="13" t="s">
        <v>67</v>
      </c>
      <c r="B3" s="13" t="s">
        <v>68</v>
      </c>
      <c r="C3" s="13" t="s">
        <v>69</v>
      </c>
      <c r="D3" s="13" t="s">
        <v>70</v>
      </c>
      <c r="E3" s="13" t="s">
        <v>71</v>
      </c>
      <c r="F3" s="13" t="s">
        <v>72</v>
      </c>
      <c r="G3" s="13" t="s">
        <v>73</v>
      </c>
    </row>
    <row r="4" spans="1:7">
      <c r="A4" s="14" t="s">
        <v>74</v>
      </c>
      <c r="B4" s="14" t="s">
        <v>75</v>
      </c>
      <c r="C4" s="14" t="s">
        <v>76</v>
      </c>
      <c r="D4" s="15">
        <v>94000</v>
      </c>
      <c r="E4" s="15">
        <v>58280</v>
      </c>
      <c r="F4" s="15">
        <v>35720</v>
      </c>
      <c r="G4" s="26">
        <v>1128</v>
      </c>
    </row>
    <row r="5" spans="1:7">
      <c r="A5" s="14" t="s">
        <v>77</v>
      </c>
      <c r="B5" s="14" t="s">
        <v>78</v>
      </c>
      <c r="C5" s="14" t="s">
        <v>79</v>
      </c>
      <c r="D5" s="15">
        <v>110000</v>
      </c>
      <c r="E5" s="15">
        <v>74800</v>
      </c>
      <c r="F5" s="15">
        <v>35200</v>
      </c>
      <c r="G5" s="26">
        <v>1980</v>
      </c>
    </row>
    <row r="6" spans="1:7">
      <c r="A6" s="14" t="s">
        <v>80</v>
      </c>
      <c r="B6" s="14" t="s">
        <v>75</v>
      </c>
      <c r="C6" s="14" t="s">
        <v>76</v>
      </c>
      <c r="D6" s="15">
        <v>50000</v>
      </c>
      <c r="E6" s="15">
        <v>37500</v>
      </c>
      <c r="F6" s="15">
        <v>12500</v>
      </c>
      <c r="G6" s="26">
        <v>250</v>
      </c>
    </row>
    <row r="7" spans="1:7">
      <c r="A7" s="14" t="s">
        <v>81</v>
      </c>
      <c r="B7" s="14" t="s">
        <v>82</v>
      </c>
      <c r="C7" s="14" t="s">
        <v>83</v>
      </c>
      <c r="D7" s="15">
        <v>19800</v>
      </c>
      <c r="E7" s="15">
        <v>9504</v>
      </c>
      <c r="F7" s="15">
        <v>10296</v>
      </c>
      <c r="G7" s="26">
        <v>-1633.6</v>
      </c>
    </row>
    <row r="8" spans="1:7">
      <c r="A8" s="14" t="s">
        <v>84</v>
      </c>
      <c r="B8" s="14" t="s">
        <v>82</v>
      </c>
      <c r="C8" s="14" t="s">
        <v>83</v>
      </c>
      <c r="D8" s="15">
        <v>28000</v>
      </c>
      <c r="E8" s="15">
        <v>25760</v>
      </c>
      <c r="F8" s="15">
        <v>2240</v>
      </c>
      <c r="G8" s="26">
        <v>616</v>
      </c>
    </row>
    <row r="9" spans="1:7">
      <c r="A9" s="14" t="s">
        <v>85</v>
      </c>
      <c r="B9" s="14" t="s">
        <v>82</v>
      </c>
      <c r="C9" s="14" t="s">
        <v>83</v>
      </c>
      <c r="D9" s="15">
        <v>18000</v>
      </c>
      <c r="E9" s="15">
        <v>9900</v>
      </c>
      <c r="F9" s="15">
        <v>8100</v>
      </c>
      <c r="G9" s="26">
        <v>-450</v>
      </c>
    </row>
    <row r="10" spans="1:7">
      <c r="A10" s="14" t="s">
        <v>86</v>
      </c>
      <c r="B10" s="14" t="s">
        <v>49</v>
      </c>
      <c r="C10" s="14" t="s">
        <v>87</v>
      </c>
      <c r="D10" s="15">
        <v>79800</v>
      </c>
      <c r="E10" s="15">
        <v>57456</v>
      </c>
      <c r="F10" s="15">
        <v>22344</v>
      </c>
      <c r="G10" s="26">
        <v>957.6</v>
      </c>
    </row>
    <row r="11" spans="1:7">
      <c r="A11" s="14" t="s">
        <v>88</v>
      </c>
      <c r="B11" s="14" t="s">
        <v>75</v>
      </c>
      <c r="C11" s="14" t="s">
        <v>76</v>
      </c>
      <c r="D11" s="15">
        <v>64000</v>
      </c>
      <c r="E11" s="15">
        <v>42240</v>
      </c>
      <c r="F11" s="15">
        <v>21760</v>
      </c>
      <c r="G11" s="26" t="s">
        <v>113</v>
      </c>
    </row>
    <row r="12" spans="1:7">
      <c r="A12" s="14" t="s">
        <v>89</v>
      </c>
      <c r="B12" s="14" t="s">
        <v>49</v>
      </c>
      <c r="C12" s="14" t="s">
        <v>87</v>
      </c>
      <c r="D12" s="15">
        <v>84000</v>
      </c>
      <c r="E12" s="15">
        <v>79800</v>
      </c>
      <c r="F12" s="15">
        <v>4200</v>
      </c>
      <c r="G12" s="26">
        <v>2940</v>
      </c>
    </row>
    <row r="13" spans="1:7">
      <c r="A13" s="14" t="s">
        <v>90</v>
      </c>
      <c r="B13" s="14" t="s">
        <v>82</v>
      </c>
      <c r="C13" s="14" t="s">
        <v>83</v>
      </c>
      <c r="D13" s="15">
        <v>33000</v>
      </c>
      <c r="E13" s="15">
        <v>32010</v>
      </c>
      <c r="F13" s="15">
        <v>990</v>
      </c>
      <c r="G13" s="26">
        <v>990</v>
      </c>
    </row>
    <row r="14" spans="1:7">
      <c r="A14" s="14" t="s">
        <v>81</v>
      </c>
      <c r="B14" s="14" t="s">
        <v>82</v>
      </c>
      <c r="C14" s="14" t="s">
        <v>83</v>
      </c>
      <c r="D14" s="15">
        <v>21000</v>
      </c>
      <c r="E14" s="15">
        <v>18480</v>
      </c>
      <c r="F14" s="15">
        <v>2520</v>
      </c>
      <c r="G14" s="26">
        <v>168</v>
      </c>
    </row>
    <row r="15" spans="1:7">
      <c r="A15" s="14" t="s">
        <v>81</v>
      </c>
      <c r="B15" s="14" t="s">
        <v>82</v>
      </c>
      <c r="C15" s="14" t="s">
        <v>83</v>
      </c>
      <c r="D15" s="15">
        <v>19800</v>
      </c>
      <c r="E15" s="15">
        <v>9504</v>
      </c>
      <c r="F15" s="15">
        <v>10296</v>
      </c>
      <c r="G15" s="26">
        <v>-633.6</v>
      </c>
    </row>
    <row r="16" spans="1:7">
      <c r="A16" s="14" t="s">
        <v>91</v>
      </c>
      <c r="B16" s="14" t="s">
        <v>78</v>
      </c>
      <c r="C16" s="14" t="s">
        <v>79</v>
      </c>
      <c r="D16" s="15">
        <v>120000</v>
      </c>
      <c r="E16" s="15">
        <v>102000</v>
      </c>
      <c r="F16" s="15">
        <v>18000</v>
      </c>
      <c r="G16" s="26">
        <v>4200</v>
      </c>
    </row>
    <row r="17" spans="1:7">
      <c r="A17" s="14" t="s">
        <v>92</v>
      </c>
      <c r="B17" s="14" t="s">
        <v>78</v>
      </c>
      <c r="C17" s="14" t="s">
        <v>79</v>
      </c>
      <c r="D17" s="15">
        <v>89000</v>
      </c>
      <c r="E17" s="15">
        <v>66750</v>
      </c>
      <c r="F17" s="15">
        <v>22250</v>
      </c>
      <c r="G17" s="26">
        <v>1335</v>
      </c>
    </row>
    <row r="18" spans="1:7">
      <c r="A18" s="14" t="s">
        <v>93</v>
      </c>
      <c r="B18" s="14" t="s">
        <v>75</v>
      </c>
      <c r="C18" s="14" t="s">
        <v>76</v>
      </c>
      <c r="D18" s="15">
        <v>60000</v>
      </c>
      <c r="E18" s="15">
        <v>58200</v>
      </c>
      <c r="F18" s="15">
        <v>1800</v>
      </c>
      <c r="G18" s="26">
        <v>2220</v>
      </c>
    </row>
    <row r="19" spans="1:7">
      <c r="A19" s="14" t="s">
        <v>84</v>
      </c>
      <c r="B19" s="14" t="s">
        <v>82</v>
      </c>
      <c r="C19" s="14" t="s">
        <v>83</v>
      </c>
      <c r="D19" s="15">
        <v>26800</v>
      </c>
      <c r="E19" s="15">
        <v>19028</v>
      </c>
      <c r="F19" s="15">
        <v>7772</v>
      </c>
      <c r="G19" s="26" t="s">
        <v>113</v>
      </c>
    </row>
    <row r="20" spans="1:7">
      <c r="A20" s="14" t="s">
        <v>94</v>
      </c>
      <c r="B20" s="14" t="s">
        <v>75</v>
      </c>
      <c r="C20" s="14" t="s">
        <v>76</v>
      </c>
      <c r="D20" s="15">
        <v>75600</v>
      </c>
      <c r="E20" s="15">
        <v>45360</v>
      </c>
      <c r="F20" s="15">
        <v>30240</v>
      </c>
      <c r="G20" s="26">
        <v>0</v>
      </c>
    </row>
    <row r="21" spans="1:7">
      <c r="A21" s="14" t="s">
        <v>95</v>
      </c>
      <c r="B21" s="14" t="s">
        <v>82</v>
      </c>
      <c r="C21" s="14" t="s">
        <v>83</v>
      </c>
      <c r="D21" s="15">
        <v>39780</v>
      </c>
      <c r="E21" s="15">
        <v>31824</v>
      </c>
      <c r="F21" s="15">
        <v>7956</v>
      </c>
      <c r="G21" s="26">
        <v>397.8</v>
      </c>
    </row>
    <row r="22" spans="1:7">
      <c r="A22" s="14" t="s">
        <v>93</v>
      </c>
      <c r="B22" s="14" t="s">
        <v>75</v>
      </c>
      <c r="C22" s="14" t="s">
        <v>76</v>
      </c>
      <c r="D22" s="15">
        <v>60000</v>
      </c>
      <c r="E22" s="15">
        <v>58200</v>
      </c>
      <c r="F22" s="15">
        <v>1800</v>
      </c>
      <c r="G22" s="26">
        <v>2220</v>
      </c>
    </row>
    <row r="23" spans="1:7">
      <c r="A23" s="14" t="s">
        <v>96</v>
      </c>
      <c r="B23" s="14" t="s">
        <v>82</v>
      </c>
      <c r="C23" s="14" t="s">
        <v>83</v>
      </c>
      <c r="D23" s="15">
        <v>19000</v>
      </c>
      <c r="E23" s="15">
        <v>13490</v>
      </c>
      <c r="F23" s="15">
        <v>5510</v>
      </c>
      <c r="G23" s="26">
        <v>-171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D6"/>
  <sheetViews>
    <sheetView workbookViewId="0"/>
  </sheetViews>
  <sheetFormatPr defaultRowHeight="16.5"/>
  <cols>
    <col min="1" max="1" width="13.625" customWidth="1"/>
  </cols>
  <sheetData>
    <row r="1" spans="1:4" ht="20.25">
      <c r="A1" s="27" t="s">
        <v>114</v>
      </c>
    </row>
    <row r="3" spans="1:4">
      <c r="A3" s="28" t="s">
        <v>115</v>
      </c>
      <c r="B3" s="28" t="s">
        <v>116</v>
      </c>
      <c r="C3" s="28" t="s">
        <v>117</v>
      </c>
      <c r="D3" s="28" t="s">
        <v>118</v>
      </c>
    </row>
    <row r="4" spans="1:4">
      <c r="A4" s="29">
        <v>45082</v>
      </c>
      <c r="B4" t="s">
        <v>119</v>
      </c>
      <c r="C4">
        <v>10</v>
      </c>
      <c r="D4" s="30">
        <v>15000</v>
      </c>
    </row>
    <row r="5" spans="1:4">
      <c r="A5" s="29">
        <v>45082</v>
      </c>
      <c r="B5" t="s">
        <v>120</v>
      </c>
      <c r="C5">
        <v>5</v>
      </c>
      <c r="D5" s="30">
        <v>10000</v>
      </c>
    </row>
    <row r="6" spans="1:4">
      <c r="A6" s="29">
        <v>45082</v>
      </c>
      <c r="B6" t="s">
        <v>121</v>
      </c>
      <c r="C6">
        <v>3</v>
      </c>
      <c r="D6" s="30">
        <v>3000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도서대여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57150</xdr:colOff>
                <xdr:row>2</xdr:row>
                <xdr:rowOff>114300</xdr:rowOff>
              </to>
            </anchor>
          </controlPr>
        </control>
      </mc:Choice>
      <mc:Fallback>
        <control shapeId="2049" r:id="rId3" name="cmd도서대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2023-10-05T13:20:49Z</dcterms:modified>
</cp:coreProperties>
</file>