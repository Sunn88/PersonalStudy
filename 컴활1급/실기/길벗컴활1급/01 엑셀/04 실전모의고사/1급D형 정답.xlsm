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CA23DF4A-9D67-4394-82CC-429C8443F009}" xr6:coauthVersionLast="47" xr6:coauthVersionMax="47" xr10:uidLastSave="{00000000-0000-0000-0000-000000000000}"/>
  <bookViews>
    <workbookView xWindow="28680" yWindow="-120" windowWidth="29040" windowHeight="17640" xr2:uid="{687888A0-7169-4D04-8AED-D6529133C41D}"/>
  </bookViews>
  <sheets>
    <sheet name="기본작업-1" sheetId="1" r:id="rId1"/>
    <sheet name="기본작업-2" sheetId="8" r:id="rId2"/>
    <sheet name="계산작업" sheetId="2" r:id="rId3"/>
    <sheet name="영문과" sheetId="12" r:id="rId4"/>
    <sheet name="분석작업-1" sheetId="3" r:id="rId5"/>
    <sheet name="분석작업-2" sheetId="4" r:id="rId6"/>
    <sheet name="기타작업-1" sheetId="9" r:id="rId7"/>
    <sheet name="기타작업-2" sheetId="6" r:id="rId8"/>
    <sheet name="기타작업-3" sheetId="7" r:id="rId9"/>
  </sheets>
  <functionGroups builtInGroupCount="19"/>
  <definedNames>
    <definedName name="_xlnm._FilterDatabase" localSheetId="0" hidden="1">'기본작업-1'!$B$3:$J$21</definedName>
    <definedName name="_xlnm.Criteria" localSheetId="0">'기본작업-1'!$B$23:$B$24</definedName>
    <definedName name="_xlnm.Extract" localSheetId="0">'기본작업-1'!$B$27:$J$27</definedName>
    <definedName name="_xlnm.Print_Titles" localSheetId="1">'기본작업-2'!$1:$1</definedName>
  </definedNames>
  <calcPr calcId="191029"/>
  <pivotCaches>
    <pivotCache cacheId="12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 a="1"/>
  <c r="B4" i="2" s="1"/>
  <c r="B5" i="2" a="1"/>
  <c r="B5" i="2" s="1"/>
  <c r="B3" i="2" a="1"/>
  <c r="B3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12" i="2"/>
  <c r="C4" i="2" a="1"/>
  <c r="C4" i="2"/>
  <c r="C5" i="2" a="1"/>
  <c r="C5" i="2"/>
  <c r="C3" i="2" a="1"/>
  <c r="C3" i="2" s="1"/>
  <c r="B24" i="1"/>
  <c r="J25" i="2" a="1"/>
  <c r="J20" i="2" a="1"/>
  <c r="J23" i="2" a="1"/>
  <c r="J12" i="2" a="1"/>
  <c r="J18" i="2" a="1"/>
  <c r="J17" i="2" a="1"/>
  <c r="J26" i="2" a="1"/>
  <c r="J15" i="2" a="1"/>
  <c r="J14" i="2" a="1"/>
  <c r="J22" i="2" a="1"/>
  <c r="J13" i="2" a="1"/>
  <c r="J27" i="2" a="1"/>
  <c r="J21" i="2" a="1"/>
  <c r="J16" i="2" a="1"/>
  <c r="J19" i="2" a="1"/>
  <c r="J24" i="2" a="1"/>
  <c r="J22" i="2" l="1"/>
  <c r="K22" i="2" s="1"/>
  <c r="J14" i="2"/>
  <c r="K14" i="2" s="1"/>
  <c r="J27" i="2"/>
  <c r="K27" i="2" s="1"/>
  <c r="J23" i="2"/>
  <c r="K23" i="2" s="1"/>
  <c r="J19" i="2"/>
  <c r="K19" i="2" s="1"/>
  <c r="J15" i="2"/>
  <c r="K15" i="2" s="1"/>
  <c r="J24" i="2"/>
  <c r="K24" i="2" s="1"/>
  <c r="J20" i="2"/>
  <c r="K20" i="2" s="1"/>
  <c r="J16" i="2"/>
  <c r="K16" i="2" s="1"/>
  <c r="J26" i="2"/>
  <c r="K26" i="2" s="1"/>
  <c r="J18" i="2"/>
  <c r="K18" i="2" s="1"/>
  <c r="J25" i="2"/>
  <c r="K25" i="2" s="1"/>
  <c r="J21" i="2"/>
  <c r="K21" i="2" s="1"/>
  <c r="J17" i="2"/>
  <c r="K17" i="2" s="1"/>
  <c r="J13" i="2"/>
  <c r="K13" i="2" s="1"/>
  <c r="J12" i="2"/>
  <c r="K12" i="2" s="1"/>
  <c r="E4" i="6"/>
  <c r="E5" i="6"/>
  <c r="E6" i="6"/>
  <c r="E7" i="6"/>
  <c r="E8" i="6"/>
  <c r="E9" i="6"/>
  <c r="E10" i="6"/>
  <c r="E11" i="6"/>
  <c r="E12" i="6"/>
  <c r="E13" i="6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BB64C6-7FBE-4184-BE73-88ABBEFCAA32}" name="MS Access Database_Query" type="1" refreshedVersion="8" background="1">
    <dbPr connection="DSN=MS Access Database;DBQ=C:\길벗컴활1급\01 엑셀\04 실전모의고사\학생성적.accdb;DefaultDir=C:\길벗컴활1급\01 엑셀\04 실전모의고사;DriverId=25;FIL=MS Access;MaxBufferSize=2048;PageTimeout=5;" command="SELECT 학생성적.이름, 학생성적.학과코드, 학생성적.TOEIC, 학생성적.컴퓨터_x000d__x000a_FROM `C:\길벗컴활1급\01 엑셀\04 실전모의고사\학생성적.accdb`.학생성적 학생성적_x000d__x000a_WHERE (학생성적.학과코드 Like 'A%') OR (학생성적.학과코드 Like 'B%')"/>
  </connection>
  <connection id="2" xr16:uid="{79C36B89-E816-4FEE-BB2F-AD5B9BAC6173}" sourceFile="C:\길벗컴활1급\01 엑셀\04 실전모의고사\학생성적.accdb" keepAlive="1" name="학생성적" type="5" refreshedVersion="7" background="1">
    <dbPr connection="Provider=Microsoft.ACE.OLEDB.12.0;User ID=Admin;Data Source=C:\길벗컴활1급\01 엑셀\04 실전모의고사\학생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학생성적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<sst xmlns="http://schemas.openxmlformats.org/spreadsheetml/2006/main" count="507" uniqueCount="241">
  <si>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</si>
  <si>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</si>
  <si>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</si>
  <si>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</si>
  <si>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</si>
  <si>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</si>
  <si>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</si>
  <si>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</si>
  <si>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PR-002</t>
  </si>
  <si>
    <t>김한응</t>
  </si>
  <si>
    <t>남</t>
  </si>
  <si>
    <t>강북</t>
  </si>
  <si>
    <t>NO-002</t>
  </si>
  <si>
    <t>김태정</t>
  </si>
  <si>
    <t>여</t>
  </si>
  <si>
    <t>중랑</t>
  </si>
  <si>
    <t>NO-007</t>
  </si>
  <si>
    <t>황선철</t>
  </si>
  <si>
    <t>노원</t>
  </si>
  <si>
    <t>NO-016</t>
  </si>
  <si>
    <t>이만수</t>
  </si>
  <si>
    <t>NO-015</t>
  </si>
  <si>
    <t>이봉삼</t>
  </si>
  <si>
    <t>NO-005</t>
  </si>
  <si>
    <t>이원섭</t>
  </si>
  <si>
    <t>NO-009</t>
  </si>
  <si>
    <t>김주희</t>
  </si>
  <si>
    <t>NO-003</t>
  </si>
  <si>
    <t>김환식</t>
  </si>
  <si>
    <t>PR-016</t>
  </si>
  <si>
    <t>강흥석</t>
  </si>
  <si>
    <t>도봉</t>
  </si>
  <si>
    <t>NO-008</t>
  </si>
  <si>
    <t>방극준</t>
  </si>
  <si>
    <t>NO-004</t>
  </si>
  <si>
    <t>안은민</t>
  </si>
  <si>
    <t>NO-010</t>
  </si>
  <si>
    <t>이영희</t>
  </si>
  <si>
    <t>NO-012</t>
  </si>
  <si>
    <t>이형태</t>
  </si>
  <si>
    <t>NO-011</t>
  </si>
  <si>
    <t>홍길동</t>
  </si>
  <si>
    <t>NO-001</t>
  </si>
  <si>
    <t>이정은</t>
  </si>
  <si>
    <t>SP-005</t>
  </si>
  <si>
    <t>이지영</t>
  </si>
  <si>
    <t>SP-002</t>
  </si>
  <si>
    <t>정하영</t>
  </si>
  <si>
    <t>SP-014</t>
  </si>
  <si>
    <t>하인화</t>
  </si>
  <si>
    <t>성명</t>
  </si>
  <si>
    <t>근무팀</t>
  </si>
  <si>
    <t>직위</t>
  </si>
  <si>
    <t>기본급</t>
  </si>
  <si>
    <t>식대</t>
  </si>
  <si>
    <t>교통비</t>
  </si>
  <si>
    <t>차량보조금</t>
  </si>
  <si>
    <t>급여 총액</t>
  </si>
  <si>
    <t>김용철</t>
  </si>
  <si>
    <t>총무팀</t>
  </si>
  <si>
    <t>과장</t>
  </si>
  <si>
    <t>정용기</t>
  </si>
  <si>
    <t>대리</t>
  </si>
  <si>
    <t>허선도</t>
  </si>
  <si>
    <t>박정우</t>
  </si>
  <si>
    <t>영업팀</t>
  </si>
  <si>
    <t>정창욱</t>
  </si>
  <si>
    <t>김동구</t>
  </si>
  <si>
    <t>조용길</t>
  </si>
  <si>
    <t>R/D팀</t>
  </si>
  <si>
    <t>노준조</t>
  </si>
  <si>
    <t>부장</t>
  </si>
  <si>
    <t>김사현</t>
  </si>
  <si>
    <t>김정우</t>
  </si>
  <si>
    <t>김지훈</t>
  </si>
  <si>
    <t>정노천</t>
  </si>
  <si>
    <t>이홍기</t>
  </si>
  <si>
    <t>황채명</t>
  </si>
  <si>
    <t>신종갑</t>
  </si>
  <si>
    <t>사원</t>
  </si>
  <si>
    <t>남동수</t>
  </si>
  <si>
    <t>박찬석</t>
  </si>
  <si>
    <t>기술팀</t>
  </si>
  <si>
    <t>김인철</t>
  </si>
  <si>
    <t>김종진</t>
  </si>
  <si>
    <t>박이호</t>
  </si>
  <si>
    <t>박한식</t>
  </si>
  <si>
    <t>강애연</t>
  </si>
  <si>
    <t>차장</t>
  </si>
  <si>
    <t>유상재</t>
  </si>
  <si>
    <t>오문규</t>
  </si>
  <si>
    <t>김재웅</t>
  </si>
  <si>
    <t>오진영</t>
  </si>
  <si>
    <t>김규한</t>
  </si>
  <si>
    <t>박득우</t>
  </si>
  <si>
    <t>안석준</t>
  </si>
  <si>
    <t>김용곤</t>
  </si>
  <si>
    <t>강충기</t>
  </si>
  <si>
    <t>강상일</t>
  </si>
  <si>
    <t>이수영</t>
  </si>
  <si>
    <t>김수정</t>
  </si>
  <si>
    <t>박중태</t>
  </si>
  <si>
    <t>신점기</t>
  </si>
  <si>
    <t>박한얼</t>
  </si>
  <si>
    <t>홍종현</t>
  </si>
  <si>
    <t>이유석</t>
  </si>
  <si>
    <t>최준호</t>
  </si>
  <si>
    <t>서지연</t>
  </si>
  <si>
    <t xml:space="preserve">한상수 </t>
  </si>
  <si>
    <t>임정호</t>
  </si>
  <si>
    <t>김병철</t>
  </si>
  <si>
    <t>이장호</t>
  </si>
  <si>
    <t>김영석</t>
  </si>
  <si>
    <t>김한나</t>
  </si>
  <si>
    <t>김호진</t>
  </si>
  <si>
    <t>윤정덕</t>
  </si>
  <si>
    <t>[표1]</t>
  </si>
  <si>
    <t>[표2]</t>
  </si>
  <si>
    <t>2/3호봉 직원수</t>
  </si>
  <si>
    <t>큰 값-평균 값</t>
  </si>
  <si>
    <t>1 호봉</t>
  </si>
  <si>
    <t>2 호봉</t>
  </si>
  <si>
    <t>3 호봉</t>
  </si>
  <si>
    <t>4 호봉</t>
  </si>
  <si>
    <t>5 호봉</t>
  </si>
  <si>
    <t>6 호봉</t>
  </si>
  <si>
    <t>[표3]</t>
  </si>
  <si>
    <t>직급</t>
  </si>
  <si>
    <t>호봉</t>
  </si>
  <si>
    <t>만기금액</t>
  </si>
  <si>
    <t>4호봉</t>
  </si>
  <si>
    <t>3호봉</t>
  </si>
  <si>
    <t>2호봉</t>
  </si>
  <si>
    <t>6호봉</t>
  </si>
  <si>
    <t>1호봉</t>
  </si>
  <si>
    <t>5호봉</t>
  </si>
  <si>
    <t>TOEIC</t>
  </si>
  <si>
    <t>컴퓨터</t>
  </si>
  <si>
    <t>교양</t>
  </si>
  <si>
    <t>전공1</t>
  </si>
  <si>
    <t>전공2</t>
  </si>
  <si>
    <t>심영보</t>
  </si>
  <si>
    <t>김준석</t>
  </si>
  <si>
    <t>박성미</t>
  </si>
  <si>
    <t>서원석</t>
  </si>
  <si>
    <t>권은영</t>
  </si>
  <si>
    <t>박종욱</t>
  </si>
  <si>
    <t>김상철</t>
  </si>
  <si>
    <t>최옥자</t>
  </si>
  <si>
    <t>한영희</t>
  </si>
  <si>
    <t>민들레</t>
  </si>
  <si>
    <t>송현우</t>
  </si>
  <si>
    <t>이욱현</t>
  </si>
  <si>
    <t>황유선</t>
  </si>
  <si>
    <t>심상섭</t>
  </si>
  <si>
    <t>[표1]</t>
    <phoneticPr fontId="1" type="noConversion"/>
  </si>
  <si>
    <t>학과</t>
    <phoneticPr fontId="1" type="noConversion"/>
  </si>
  <si>
    <t>기계설계과</t>
    <phoneticPr fontId="1" type="noConversion"/>
  </si>
  <si>
    <t>영문과</t>
    <phoneticPr fontId="1" type="noConversion"/>
  </si>
  <si>
    <t>회계과</t>
    <phoneticPr fontId="1" type="noConversion"/>
  </si>
  <si>
    <t>법학과</t>
    <phoneticPr fontId="1" type="noConversion"/>
  </si>
  <si>
    <t>미수금 현황</t>
  </si>
  <si>
    <t>거래처명</t>
  </si>
  <si>
    <t>품목명</t>
  </si>
  <si>
    <t>수량</t>
  </si>
  <si>
    <t>판매금액</t>
  </si>
  <si>
    <t>미수금</t>
  </si>
  <si>
    <t>고려화학</t>
  </si>
  <si>
    <t>Blue</t>
  </si>
  <si>
    <t>명지페인트</t>
  </si>
  <si>
    <t>Red300</t>
  </si>
  <si>
    <t>삼화페인트</t>
  </si>
  <si>
    <t>Violet100</t>
  </si>
  <si>
    <t xml:space="preserve">Red334 </t>
  </si>
  <si>
    <t xml:space="preserve">Yellow </t>
  </si>
  <si>
    <t>Violet550</t>
  </si>
  <si>
    <t>Violet600</t>
  </si>
  <si>
    <t>필기시험결과</t>
  </si>
  <si>
    <t>수험번호</t>
  </si>
  <si>
    <t>1과목</t>
  </si>
  <si>
    <t>2과목</t>
  </si>
  <si>
    <t>3과목</t>
  </si>
  <si>
    <t>합격여부</t>
  </si>
  <si>
    <t>J786001</t>
  </si>
  <si>
    <t>J786002</t>
  </si>
  <si>
    <t>J786003</t>
  </si>
  <si>
    <t>J786004</t>
  </si>
  <si>
    <t>J786005</t>
  </si>
  <si>
    <t>J786006</t>
  </si>
  <si>
    <t>J786007</t>
  </si>
  <si>
    <t>J786008</t>
  </si>
  <si>
    <t>J786009</t>
  </si>
  <si>
    <t>J786010</t>
  </si>
  <si>
    <t>가계부</t>
  </si>
  <si>
    <t>날짜</t>
  </si>
  <si>
    <t>구분</t>
  </si>
  <si>
    <t>내역</t>
  </si>
  <si>
    <t>금액</t>
  </si>
  <si>
    <t>수입</t>
  </si>
  <si>
    <t>급여</t>
  </si>
  <si>
    <t>지출</t>
  </si>
  <si>
    <t>합계</t>
    <phoneticPr fontId="1" type="noConversion"/>
  </si>
  <si>
    <t>조건</t>
    <phoneticPr fontId="1" type="noConversion"/>
  </si>
  <si>
    <t>(모두)</t>
  </si>
  <si>
    <t>A1</t>
  </si>
  <si>
    <t>A2</t>
  </si>
  <si>
    <t>총합계</t>
  </si>
  <si>
    <t>학과코드</t>
  </si>
  <si>
    <t>학과코드2</t>
  </si>
  <si>
    <t>영문과</t>
  </si>
  <si>
    <t>기계설계과</t>
  </si>
  <si>
    <t>이철형</t>
  </si>
  <si>
    <t>서호형</t>
  </si>
  <si>
    <t>김광배</t>
  </si>
  <si>
    <t>양창석</t>
  </si>
  <si>
    <t>김미숙</t>
  </si>
  <si>
    <t>최소 : TOEIC</t>
  </si>
  <si>
    <t>최소 : 컴퓨터</t>
  </si>
  <si>
    <t>학번</t>
  </si>
  <si>
    <t>전화번호</t>
  </si>
  <si>
    <t>학과</t>
  </si>
  <si>
    <t>평균</t>
  </si>
  <si>
    <t>평가</t>
  </si>
  <si>
    <t>A03-029</t>
  </si>
  <si>
    <t>750-5624</t>
  </si>
  <si>
    <t>영문</t>
  </si>
  <si>
    <t>D</t>
  </si>
  <si>
    <t>A03-028</t>
  </si>
  <si>
    <t>628-9046</t>
  </si>
  <si>
    <t>A03-026</t>
  </si>
  <si>
    <t>956-6374</t>
  </si>
  <si>
    <t>A03-002</t>
  </si>
  <si>
    <t>893-3546</t>
  </si>
  <si>
    <t>생물</t>
  </si>
  <si>
    <t>A03-027</t>
  </si>
  <si>
    <t>496-8364</t>
  </si>
  <si>
    <t>A03-018</t>
  </si>
  <si>
    <t>318-6573</t>
  </si>
  <si>
    <t>A03-014</t>
  </si>
  <si>
    <t>365-9010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</si>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</sst>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"/>
    <numFmt numFmtId="177" formatCode="0_ "/>
    <numFmt numFmtId="178" formatCode="mm&quot;월&quot;\ dd&quot;일&quot;\ aaaa"/>
    <numFmt numFmtId="179" formatCode="[Blue][&gt;=60]&quot;합격&quot;;&quot;불합격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2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177" fontId="0" fillId="0" borderId="1" xfId="0" applyNumberFormat="1" applyBorder="1">
      <alignment vertical="center"/>
    </xf>
    <xf numFmtId="42" fontId="0" fillId="0" borderId="1" xfId="2" applyFont="1" applyBorder="1">
      <alignment vertical="center"/>
    </xf>
    <xf numFmtId="0" fontId="4" fillId="0" borderId="0" xfId="3" applyFont="1">
      <alignment vertical="center"/>
    </xf>
    <xf numFmtId="0" fontId="3" fillId="0" borderId="0" xfId="3">
      <alignment vertical="center"/>
    </xf>
    <xf numFmtId="0" fontId="3" fillId="0" borderId="0" xfId="3" quotePrefix="1">
      <alignment vertical="center"/>
    </xf>
    <xf numFmtId="0" fontId="3" fillId="0" borderId="1" xfId="3" applyBorder="1" applyAlignment="1">
      <alignment horizontal="center" vertical="center"/>
    </xf>
    <xf numFmtId="0" fontId="3" fillId="3" borderId="1" xfId="3" applyFill="1" applyBorder="1" applyAlignment="1">
      <alignment horizontal="center" vertical="center"/>
    </xf>
    <xf numFmtId="0" fontId="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0" fontId="0" fillId="0" borderId="0" xfId="0" pivotButton="1">
      <alignment vertical="center"/>
    </xf>
    <xf numFmtId="179" fontId="3" fillId="0" borderId="1" xfId="1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4">
    <cellStyle name="쉼표 [0]" xfId="1" builtinId="6"/>
    <cellStyle name="통화 [0]" xfId="2" builtinId="7"/>
    <cellStyle name="표준" xfId="0" builtinId="0"/>
    <cellStyle name="표준 2 2" xfId="3" xr:uid="{EE893DC5-08A1-43B8-BDBA-34F8D6B231FA}"/>
  </cellStyles>
  <dxfs count="2">
    <dxf>
      <fill>
        <patternFill>
          <bgColor rgb="FFFFC7CE"/>
        </patternFill>
      </fill>
    </dxf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미수금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미수금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'기타작업-1'!$B$3:$B$9</c:f>
              <c:strCache>
                <c:ptCount val="7"/>
                <c:pt idx="0">
                  <c:v>Blue</c:v>
                </c:pt>
                <c:pt idx="1">
                  <c:v>Red300</c:v>
                </c:pt>
                <c:pt idx="2">
                  <c:v>Violet100</c:v>
                </c:pt>
                <c:pt idx="3">
                  <c:v>Red334 </c:v>
                </c:pt>
                <c:pt idx="4">
                  <c:v>Yellow </c:v>
                </c:pt>
                <c:pt idx="5">
                  <c:v>Violet550</c:v>
                </c:pt>
                <c:pt idx="6">
                  <c:v>Violet600</c:v>
                </c:pt>
              </c:strCache>
            </c:strRef>
          </c:cat>
          <c:val>
            <c:numRef>
              <c:f>'기타작업-1'!$E$3:$E$9</c:f>
              <c:numCache>
                <c:formatCode>_("₩"* #,##0_);_("₩"* \(#,##0\);_("₩"* "-"_);_(@_)</c:formatCode>
                <c:ptCount val="7"/>
                <c:pt idx="0">
                  <c:v>83720</c:v>
                </c:pt>
                <c:pt idx="1">
                  <c:v>312000</c:v>
                </c:pt>
                <c:pt idx="2">
                  <c:v>156000</c:v>
                </c:pt>
                <c:pt idx="3">
                  <c:v>45000</c:v>
                </c:pt>
                <c:pt idx="4">
                  <c:v>12000</c:v>
                </c:pt>
                <c:pt idx="5">
                  <c:v>130000</c:v>
                </c:pt>
                <c:pt idx="6">
                  <c:v>702000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E-4814-B4F9-DFFB8EABC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336159"/>
        <c:axId val="264330879"/>
      </c:barChart>
      <c:lineChart>
        <c:grouping val="standard"/>
        <c:varyColors val="0"/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미수금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20"/>
              <c:spPr>
                <a:gradFill rotWithShape="1">
                  <a:gsLst>
                    <a:gs pos="0">
                      <a:schemeClr val="accent4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4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4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12700">
                  <a:solidFill>
                    <a:schemeClr val="l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90DE-4814-B4F9-DFFB8EABCA07}"/>
              </c:ext>
            </c:extLst>
          </c:dPt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DE-4814-B4F9-DFFB8EABCA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'기타작업-1'!$B$3:$B$9</c:f>
              <c:strCache>
                <c:ptCount val="7"/>
                <c:pt idx="0">
                  <c:v>Blue</c:v>
                </c:pt>
                <c:pt idx="1">
                  <c:v>Red300</c:v>
                </c:pt>
                <c:pt idx="2">
                  <c:v>Violet100</c:v>
                </c:pt>
                <c:pt idx="3">
                  <c:v>Red334 </c:v>
                </c:pt>
                <c:pt idx="4">
                  <c:v>Yellow </c:v>
                </c:pt>
                <c:pt idx="5">
                  <c:v>Violet550</c:v>
                </c:pt>
                <c:pt idx="6">
                  <c:v>Violet600</c:v>
                </c:pt>
              </c:strCache>
            </c:strRef>
          </c:cat>
          <c:val>
            <c:numRef>
              <c:f>'기타작업-1'!$E$3:$E$9</c:f>
              <c:numCache>
                <c:formatCode>_("₩"* #,##0_);_("₩"* \(#,##0\);_("₩"* "-"_);_(@_)</c:formatCode>
                <c:ptCount val="7"/>
                <c:pt idx="0">
                  <c:v>83720</c:v>
                </c:pt>
                <c:pt idx="1">
                  <c:v>312000</c:v>
                </c:pt>
                <c:pt idx="2">
                  <c:v>156000</c:v>
                </c:pt>
                <c:pt idx="3">
                  <c:v>45000</c:v>
                </c:pt>
                <c:pt idx="4">
                  <c:v>12000</c:v>
                </c:pt>
                <c:pt idx="5">
                  <c:v>130000</c:v>
                </c:pt>
                <c:pt idx="6">
                  <c:v>702000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DE-4814-B4F9-DFFB8EABC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336159"/>
        <c:axId val="264330879"/>
      </c:lineChart>
      <c:catAx>
        <c:axId val="26433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4330879"/>
        <c:crosses val="autoZero"/>
        <c:auto val="1"/>
        <c:lblAlgn val="ctr"/>
        <c:lblOffset val="100"/>
        <c:noMultiLvlLbl val="0"/>
      </c:catAx>
      <c:valAx>
        <c:axId val="26433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70C0"/>
              </a:solidFill>
              <a:prstDash val="dash"/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4336159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합격여부확인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점수 그래프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133350</xdr:colOff>
          <xdr:row>2</xdr:row>
          <xdr:rowOff>114300</xdr:rowOff>
        </xdr:to>
        <xdr:sp macro="" textlink="">
          <xdr:nvSpPr>
            <xdr:cNvPr id="2049" name="cmd가계부작성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81563078701" backgroundQuery="1" createdVersion="7" refreshedVersion="7" minRefreshableVersion="3" recordCount="14" xr:uid="{8C14B403-AB8C-46A9-964B-AB5F88AA693C}">
  <cacheSource type="external" connectionId="2"/>
  <cacheFields count="13">
    <cacheField name="학번" numFmtId="0">
      <sharedItems count="14">
        <s v="A03-001"/>
        <s v="A03-002"/>
        <s v="A03-006"/>
        <s v="A03-007"/>
        <s v="A03-008"/>
        <s v="A03-011"/>
        <s v="A03-013"/>
        <s v="A03-014"/>
        <s v="A03-018"/>
        <s v="A03-025"/>
        <s v="A03-026"/>
        <s v="A03-027"/>
        <s v="A03-028"/>
        <s v="A03-029"/>
      </sharedItems>
    </cacheField>
    <cacheField name="이름" numFmtId="0">
      <sharedItems count="14">
        <s v="심영보"/>
        <s v="김준석"/>
        <s v="박종욱"/>
        <s v="김상철"/>
        <s v="최옥자"/>
        <s v="송현우"/>
        <s v="황유선"/>
        <s v="심상섭"/>
        <s v="김미숙"/>
        <s v="이숙영"/>
        <s v="김광배"/>
        <s v="양창석"/>
        <s v="서호형"/>
        <s v="이철형"/>
      </sharedItems>
    </cacheField>
    <cacheField name="학과코드" numFmtId="0">
      <sharedItems count="4">
        <s v="B2"/>
        <s v="A2"/>
        <s v="B1"/>
        <s v="A1"/>
      </sharedItems>
      <fieldGroup par="12"/>
    </cacheField>
    <cacheField name="전화번호" numFmtId="0">
      <sharedItems count="14">
        <s v="967-5810"/>
        <s v="893-3546"/>
        <s v="683-5864"/>
        <s v="842-6387"/>
        <s v="836-8456"/>
        <s v="945-7586"/>
        <s v="845-7463"/>
        <s v="365-9010"/>
        <s v="318-6573"/>
        <s v="794-6935"/>
        <s v="956-6374"/>
        <s v="496-8364"/>
        <s v="628-9046"/>
        <s v="750-5624"/>
      </sharedItems>
    </cacheField>
    <cacheField name="학과" numFmtId="0">
      <sharedItems count="4">
        <s v="기계설계"/>
        <s v="생물"/>
        <s v="화학"/>
        <s v="영문"/>
      </sharedItems>
    </cacheField>
    <cacheField name="TOEIC" numFmtId="0">
      <sharedItems containsSemiMixedTypes="0" containsString="0" containsNumber="1" containsInteger="1" minValue="52" maxValue="92" count="12">
        <n v="77"/>
        <n v="88"/>
        <n v="56"/>
        <n v="79"/>
        <n v="52"/>
        <n v="61"/>
        <n v="86"/>
        <n v="64"/>
        <n v="92"/>
        <n v="71"/>
        <n v="76"/>
        <n v="87"/>
      </sharedItems>
    </cacheField>
    <cacheField name="컴퓨터" numFmtId="0">
      <sharedItems containsSemiMixedTypes="0" containsString="0" containsNumber="1" containsInteger="1" minValue="56" maxValue="99" count="13">
        <n v="76"/>
        <n v="81"/>
        <n v="99"/>
        <n v="77"/>
        <n v="94"/>
        <n v="78"/>
        <n v="98"/>
        <n v="66"/>
        <n v="59"/>
        <n v="64"/>
        <n v="97"/>
        <n v="80"/>
        <n v="56"/>
      </sharedItems>
    </cacheField>
    <cacheField name="교양" numFmtId="0">
      <sharedItems containsSemiMixedTypes="0" containsString="0" containsNumber="1" containsInteger="1" minValue="50" maxValue="97" count="13">
        <n v="87"/>
        <n v="77"/>
        <n v="96"/>
        <n v="50"/>
        <n v="76"/>
        <n v="55"/>
        <n v="72"/>
        <n v="71"/>
        <n v="97"/>
        <n v="84"/>
        <n v="64"/>
        <n v="91"/>
        <n v="56"/>
      </sharedItems>
    </cacheField>
    <cacheField name="전공1" numFmtId="0">
      <sharedItems containsSemiMixedTypes="0" containsString="0" containsNumber="1" containsInteger="1" minValue="50" maxValue="96" count="14">
        <n v="50"/>
        <n v="85"/>
        <n v="71"/>
        <n v="55"/>
        <n v="72"/>
        <n v="64"/>
        <n v="89"/>
        <n v="94"/>
        <n v="86"/>
        <n v="73"/>
        <n v="96"/>
        <n v="51"/>
        <n v="82"/>
        <n v="83"/>
      </sharedItems>
    </cacheField>
    <cacheField name="전공2" numFmtId="0">
      <sharedItems containsSemiMixedTypes="0" containsString="0" containsNumber="1" containsInteger="1" minValue="51" maxValue="96" count="10">
        <n v="51"/>
        <n v="63"/>
        <n v="95"/>
        <n v="92"/>
        <n v="96"/>
        <n v="60"/>
        <n v="68"/>
        <n v="87"/>
        <n v="53"/>
        <n v="76"/>
      </sharedItems>
    </cacheField>
    <cacheField name="평균" numFmtId="0">
      <sharedItems containsSemiMixedTypes="0" containsString="0" containsNumber="1" minValue="61.8" maxValue="83.4" count="12">
        <n v="68.2"/>
        <n v="78.8"/>
        <n v="83.4"/>
        <n v="70.2"/>
        <n v="61.8"/>
        <n v="77.599999999999994"/>
        <n v="80.8"/>
        <n v="71.8"/>
        <n v="77.8"/>
        <n v="79.2"/>
        <n v="78"/>
        <n v="72.8"/>
      </sharedItems>
    </cacheField>
    <cacheField name="평가" numFmtId="0">
      <sharedItems count="3">
        <s v="F"/>
        <s v="D"/>
        <s v="B"/>
      </sharedItems>
    </cacheField>
    <cacheField name="학과코드2" numFmtId="0" databaseField="0">
      <fieldGroup base="2">
        <discretePr count="4">
          <x v="1"/>
          <x v="0"/>
          <x v="1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  <x v="1"/>
    <x v="1"/>
  </r>
  <r>
    <x v="2"/>
    <x v="2"/>
    <x v="0"/>
    <x v="2"/>
    <x v="0"/>
    <x v="2"/>
    <x v="2"/>
    <x v="2"/>
    <x v="2"/>
    <x v="2"/>
    <x v="2"/>
    <x v="2"/>
  </r>
  <r>
    <x v="3"/>
    <x v="3"/>
    <x v="2"/>
    <x v="3"/>
    <x v="2"/>
    <x v="0"/>
    <x v="3"/>
    <x v="3"/>
    <x v="3"/>
    <x v="3"/>
    <x v="3"/>
    <x v="1"/>
  </r>
  <r>
    <x v="4"/>
    <x v="4"/>
    <x v="0"/>
    <x v="4"/>
    <x v="0"/>
    <x v="3"/>
    <x v="4"/>
    <x v="4"/>
    <x v="4"/>
    <x v="4"/>
    <x v="2"/>
    <x v="2"/>
  </r>
  <r>
    <x v="5"/>
    <x v="5"/>
    <x v="2"/>
    <x v="5"/>
    <x v="2"/>
    <x v="4"/>
    <x v="5"/>
    <x v="5"/>
    <x v="5"/>
    <x v="5"/>
    <x v="4"/>
    <x v="0"/>
  </r>
  <r>
    <x v="6"/>
    <x v="6"/>
    <x v="0"/>
    <x v="6"/>
    <x v="0"/>
    <x v="5"/>
    <x v="6"/>
    <x v="6"/>
    <x v="6"/>
    <x v="6"/>
    <x v="5"/>
    <x v="1"/>
  </r>
  <r>
    <x v="7"/>
    <x v="7"/>
    <x v="1"/>
    <x v="7"/>
    <x v="1"/>
    <x v="6"/>
    <x v="7"/>
    <x v="7"/>
    <x v="7"/>
    <x v="7"/>
    <x v="6"/>
    <x v="2"/>
  </r>
  <r>
    <x v="8"/>
    <x v="8"/>
    <x v="1"/>
    <x v="8"/>
    <x v="1"/>
    <x v="7"/>
    <x v="8"/>
    <x v="8"/>
    <x v="8"/>
    <x v="8"/>
    <x v="7"/>
    <x v="1"/>
  </r>
  <r>
    <x v="9"/>
    <x v="9"/>
    <x v="2"/>
    <x v="9"/>
    <x v="2"/>
    <x v="8"/>
    <x v="9"/>
    <x v="9"/>
    <x v="9"/>
    <x v="9"/>
    <x v="8"/>
    <x v="1"/>
  </r>
  <r>
    <x v="10"/>
    <x v="10"/>
    <x v="3"/>
    <x v="10"/>
    <x v="3"/>
    <x v="9"/>
    <x v="10"/>
    <x v="10"/>
    <x v="10"/>
    <x v="6"/>
    <x v="9"/>
    <x v="1"/>
  </r>
  <r>
    <x v="11"/>
    <x v="11"/>
    <x v="1"/>
    <x v="11"/>
    <x v="1"/>
    <x v="10"/>
    <x v="11"/>
    <x v="11"/>
    <x v="11"/>
    <x v="3"/>
    <x v="10"/>
    <x v="1"/>
  </r>
  <r>
    <x v="12"/>
    <x v="12"/>
    <x v="3"/>
    <x v="12"/>
    <x v="3"/>
    <x v="4"/>
    <x v="12"/>
    <x v="1"/>
    <x v="12"/>
    <x v="3"/>
    <x v="7"/>
    <x v="1"/>
  </r>
  <r>
    <x v="13"/>
    <x v="13"/>
    <x v="3"/>
    <x v="13"/>
    <x v="3"/>
    <x v="11"/>
    <x v="5"/>
    <x v="12"/>
    <x v="13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1275C-36D4-4EF8-B742-F22D815B2BE8}" name="피벗 테이블1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5:D8" firstHeaderRow="0" firstDataRow="1" firstDataCol="2" rowPageCount="1" colPageCount="1"/>
  <pivotFields count="13">
    <pivotField compact="0" showAll="0"/>
    <pivotField axis="axisPage" compact="0" showAll="0">
      <items count="15">
        <item x="10"/>
        <item x="8"/>
        <item x="3"/>
        <item x="1"/>
        <item x="2"/>
        <item x="12"/>
        <item x="5"/>
        <item x="7"/>
        <item x="0"/>
        <item x="11"/>
        <item x="9"/>
        <item x="13"/>
        <item x="4"/>
        <item x="6"/>
        <item t="default"/>
      </items>
    </pivotField>
    <pivotField axis="axisRow" compact="0" showAll="0">
      <items count="5">
        <item x="3"/>
        <item x="1"/>
        <item x="2"/>
        <item x="0"/>
        <item t="default"/>
      </items>
    </pivotField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3">
        <item n="영문과" sd="0" x="0"/>
        <item n="기계설계과" sd="0" x="1"/>
        <item t="default" sd="0"/>
      </items>
    </pivotField>
  </pivotFields>
  <rowFields count="2">
    <field x="12"/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최소 : TOEIC" fld="5" subtotal="min" baseField="0" baseItem="0"/>
    <dataField name="최소 : 컴퓨터" fld="6" subtotal="min" baseField="0" baseItem="0"/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199DB7-D1E9-4766-9DBA-E84A8F00F905}" name="표2" displayName="표2" ref="A1:L8" totalsRowShown="0">
  <autoFilter ref="A1:L8" xr:uid="{69199DB7-D1E9-4766-9DBA-E84A8F00F905}"/>
  <tableColumns count="12">
    <tableColumn id="1" xr3:uid="{4D684B98-0D3A-4BAA-9DB4-DBFCE95C4561}" name="학번"/>
    <tableColumn id="2" xr3:uid="{EA8CE3FB-54DF-41DA-855A-B139CCB2FD80}" name="이름"/>
    <tableColumn id="3" xr3:uid="{898A9C07-D588-4070-8976-2F10143560F0}" name="학과코드"/>
    <tableColumn id="4" xr3:uid="{DA198A32-7E02-48F1-8BFE-76EACD25BA86}" name="전화번호"/>
    <tableColumn id="5" xr3:uid="{C288462D-334F-411B-89B6-902EE399B785}" name="학과"/>
    <tableColumn id="6" xr3:uid="{D38ED608-0F4A-456B-AE35-60CE291F1616}" name="TOEIC"/>
    <tableColumn id="7" xr3:uid="{905A51DE-D6D9-4292-A5F3-75B669E0A77E}" name="컴퓨터"/>
    <tableColumn id="8" xr3:uid="{C4DFA4C2-7FCA-4E38-AED7-D60B3D9F0FB5}" name="교양"/>
    <tableColumn id="9" xr3:uid="{6DE8A701-6B9E-4B28-A5C9-91D22D3FDB6D}" name="전공1"/>
    <tableColumn id="10" xr3:uid="{E62CFB0A-98BD-4D53-B688-B831B90A9462}" name="전공2"/>
    <tableColumn id="11" xr3:uid="{5FB81E62-355C-4543-847F-836BD5F81101}" name="평균"/>
    <tableColumn id="12" xr3:uid="{96E5553D-545E-4294-92E4-D1625B07E1EB}" name="평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3:J32"/>
  <sheetViews>
    <sheetView tabSelected="1" workbookViewId="0"/>
  </sheetViews>
  <sheetFormatPr defaultRowHeight="16.5" x14ac:dyDescent="0.3"/>
  <cols>
    <col min="1" max="1" width="1.75" customWidth="1"/>
    <col min="3" max="3" width="7.125" bestFit="1" customWidth="1"/>
    <col min="4" max="5" width="5.25" bestFit="1" customWidth="1"/>
    <col min="6" max="6" width="16.75" bestFit="1" customWidth="1"/>
    <col min="7" max="9" width="12.75" bestFit="1" customWidth="1"/>
    <col min="10" max="10" width="10.125" bestFit="1" customWidth="1"/>
  </cols>
  <sheetData>
    <row r="3" spans="2:10" x14ac:dyDescent="0.3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201</v>
      </c>
    </row>
    <row r="4" spans="2:10" x14ac:dyDescent="0.3">
      <c r="B4" s="2" t="s">
        <v>8</v>
      </c>
      <c r="C4" s="2" t="s">
        <v>9</v>
      </c>
      <c r="D4" s="2" t="s">
        <v>10</v>
      </c>
      <c r="E4" s="2" t="s">
        <v>11</v>
      </c>
      <c r="F4" s="19">
        <v>45006</v>
      </c>
      <c r="G4" s="3">
        <v>135000</v>
      </c>
      <c r="H4" s="3">
        <v>55000</v>
      </c>
      <c r="I4" s="3">
        <v>135000</v>
      </c>
      <c r="J4" s="3">
        <f t="shared" ref="J4:J21" si="0">SUM(G4:I4)</f>
        <v>325000</v>
      </c>
    </row>
    <row r="5" spans="2:10" x14ac:dyDescent="0.3">
      <c r="B5" s="2" t="s">
        <v>12</v>
      </c>
      <c r="C5" s="2" t="s">
        <v>13</v>
      </c>
      <c r="D5" s="2" t="s">
        <v>14</v>
      </c>
      <c r="E5" s="2" t="s">
        <v>15</v>
      </c>
      <c r="F5" s="19">
        <v>44992</v>
      </c>
      <c r="G5" s="3">
        <v>0</v>
      </c>
      <c r="H5" s="3">
        <v>5800</v>
      </c>
      <c r="I5" s="3">
        <v>22020</v>
      </c>
      <c r="J5" s="3">
        <f t="shared" si="0"/>
        <v>27820</v>
      </c>
    </row>
    <row r="6" spans="2:10" x14ac:dyDescent="0.3">
      <c r="B6" s="2" t="s">
        <v>16</v>
      </c>
      <c r="C6" s="2" t="s">
        <v>17</v>
      </c>
      <c r="D6" s="2" t="s">
        <v>10</v>
      </c>
      <c r="E6" s="2" t="s">
        <v>18</v>
      </c>
      <c r="F6" s="19">
        <v>44938</v>
      </c>
      <c r="G6" s="3">
        <v>33250</v>
      </c>
      <c r="H6" s="3">
        <v>0</v>
      </c>
      <c r="I6" s="3">
        <v>0</v>
      </c>
      <c r="J6" s="3">
        <f t="shared" si="0"/>
        <v>33250</v>
      </c>
    </row>
    <row r="7" spans="2:10" x14ac:dyDescent="0.3">
      <c r="B7" s="2" t="s">
        <v>19</v>
      </c>
      <c r="C7" s="2" t="s">
        <v>20</v>
      </c>
      <c r="D7" s="2" t="s">
        <v>10</v>
      </c>
      <c r="E7" s="2" t="s">
        <v>15</v>
      </c>
      <c r="F7" s="19">
        <v>44979</v>
      </c>
      <c r="G7" s="3">
        <v>35320</v>
      </c>
      <c r="H7" s="3">
        <v>2020</v>
      </c>
      <c r="I7" s="3">
        <v>0</v>
      </c>
      <c r="J7" s="3">
        <f t="shared" si="0"/>
        <v>37340</v>
      </c>
    </row>
    <row r="8" spans="2:10" x14ac:dyDescent="0.3">
      <c r="B8" s="2" t="s">
        <v>21</v>
      </c>
      <c r="C8" s="2" t="s">
        <v>22</v>
      </c>
      <c r="D8" s="2" t="s">
        <v>10</v>
      </c>
      <c r="E8" s="2" t="s">
        <v>15</v>
      </c>
      <c r="F8" s="19">
        <v>44997</v>
      </c>
      <c r="G8" s="3">
        <v>35090</v>
      </c>
      <c r="H8" s="3">
        <v>21020</v>
      </c>
      <c r="I8" s="3">
        <v>2000</v>
      </c>
      <c r="J8" s="3">
        <f t="shared" si="0"/>
        <v>58110</v>
      </c>
    </row>
    <row r="9" spans="2:10" x14ac:dyDescent="0.3">
      <c r="B9" s="2" t="s">
        <v>23</v>
      </c>
      <c r="C9" s="2" t="s">
        <v>24</v>
      </c>
      <c r="D9" s="2" t="s">
        <v>10</v>
      </c>
      <c r="E9" s="2" t="s">
        <v>18</v>
      </c>
      <c r="F9" s="19">
        <v>44998</v>
      </c>
      <c r="G9" s="3">
        <v>0</v>
      </c>
      <c r="H9" s="3">
        <v>33250</v>
      </c>
      <c r="I9" s="3">
        <v>33250</v>
      </c>
      <c r="J9" s="3">
        <f t="shared" si="0"/>
        <v>66500</v>
      </c>
    </row>
    <row r="10" spans="2:10" x14ac:dyDescent="0.3">
      <c r="B10" s="2" t="s">
        <v>25</v>
      </c>
      <c r="C10" s="2" t="s">
        <v>26</v>
      </c>
      <c r="D10" s="2" t="s">
        <v>14</v>
      </c>
      <c r="E10" s="2" t="s">
        <v>11</v>
      </c>
      <c r="F10" s="19">
        <v>45000</v>
      </c>
      <c r="G10" s="3">
        <v>0</v>
      </c>
      <c r="H10" s="3">
        <v>34170</v>
      </c>
      <c r="I10" s="3">
        <v>34170</v>
      </c>
      <c r="J10" s="3">
        <f t="shared" si="0"/>
        <v>68340</v>
      </c>
    </row>
    <row r="11" spans="2:10" x14ac:dyDescent="0.3">
      <c r="B11" s="2" t="s">
        <v>27</v>
      </c>
      <c r="C11" s="2" t="s">
        <v>28</v>
      </c>
      <c r="D11" s="2" t="s">
        <v>10</v>
      </c>
      <c r="E11" s="2" t="s">
        <v>15</v>
      </c>
      <c r="F11" s="19">
        <v>44969</v>
      </c>
      <c r="G11" s="3">
        <v>32330</v>
      </c>
      <c r="H11" s="3">
        <v>38700</v>
      </c>
      <c r="I11" s="3">
        <v>0</v>
      </c>
      <c r="J11" s="3">
        <f t="shared" si="0"/>
        <v>71030</v>
      </c>
    </row>
    <row r="12" spans="2:10" x14ac:dyDescent="0.3">
      <c r="B12" s="2" t="s">
        <v>29</v>
      </c>
      <c r="C12" s="2" t="s">
        <v>30</v>
      </c>
      <c r="D12" s="2" t="s">
        <v>10</v>
      </c>
      <c r="E12" s="2" t="s">
        <v>31</v>
      </c>
      <c r="F12" s="19">
        <v>45003</v>
      </c>
      <c r="G12" s="3">
        <v>140520</v>
      </c>
      <c r="H12" s="3">
        <v>135000</v>
      </c>
      <c r="I12" s="3">
        <v>152000</v>
      </c>
      <c r="J12" s="3">
        <f t="shared" si="0"/>
        <v>427520</v>
      </c>
    </row>
    <row r="13" spans="2:10" x14ac:dyDescent="0.3">
      <c r="B13" s="2" t="s">
        <v>32</v>
      </c>
      <c r="C13" s="2" t="s">
        <v>33</v>
      </c>
      <c r="D13" s="2" t="s">
        <v>10</v>
      </c>
      <c r="E13" s="2" t="s">
        <v>11</v>
      </c>
      <c r="F13" s="19">
        <v>45007</v>
      </c>
      <c r="G13" s="3">
        <v>33480</v>
      </c>
      <c r="H13" s="3">
        <v>33940</v>
      </c>
      <c r="I13" s="3">
        <v>33940</v>
      </c>
      <c r="J13" s="3">
        <f t="shared" si="0"/>
        <v>101360</v>
      </c>
    </row>
    <row r="14" spans="2:10" x14ac:dyDescent="0.3">
      <c r="B14" s="2" t="s">
        <v>34</v>
      </c>
      <c r="C14" s="2" t="s">
        <v>35</v>
      </c>
      <c r="D14" s="2" t="s">
        <v>10</v>
      </c>
      <c r="E14" s="2" t="s">
        <v>15</v>
      </c>
      <c r="F14" s="19">
        <v>44968</v>
      </c>
      <c r="G14" s="3">
        <v>32560</v>
      </c>
      <c r="H14" s="3">
        <v>7700</v>
      </c>
      <c r="I14" s="3">
        <v>0</v>
      </c>
      <c r="J14" s="3">
        <f t="shared" si="0"/>
        <v>40260</v>
      </c>
    </row>
    <row r="15" spans="2:10" x14ac:dyDescent="0.3">
      <c r="B15" s="2" t="s">
        <v>36</v>
      </c>
      <c r="C15" s="2" t="s">
        <v>37</v>
      </c>
      <c r="D15" s="2" t="s">
        <v>10</v>
      </c>
      <c r="E15" s="2" t="s">
        <v>11</v>
      </c>
      <c r="F15" s="19">
        <v>44976</v>
      </c>
      <c r="G15" s="3">
        <v>33940</v>
      </c>
      <c r="H15" s="3">
        <v>38700</v>
      </c>
      <c r="I15" s="3">
        <v>0</v>
      </c>
      <c r="J15" s="3">
        <f t="shared" si="0"/>
        <v>72640</v>
      </c>
    </row>
    <row r="16" spans="2:10" x14ac:dyDescent="0.3">
      <c r="B16" s="2" t="s">
        <v>38</v>
      </c>
      <c r="C16" s="2" t="s">
        <v>39</v>
      </c>
      <c r="D16" s="2" t="s">
        <v>10</v>
      </c>
      <c r="E16" s="2" t="s">
        <v>31</v>
      </c>
      <c r="F16" s="19">
        <v>44992</v>
      </c>
      <c r="G16" s="3">
        <v>58520</v>
      </c>
      <c r="H16" s="3">
        <v>52200</v>
      </c>
      <c r="I16" s="3">
        <v>25020</v>
      </c>
      <c r="J16" s="3">
        <f t="shared" si="0"/>
        <v>135740</v>
      </c>
    </row>
    <row r="17" spans="2:10" x14ac:dyDescent="0.3">
      <c r="B17" s="2" t="s">
        <v>40</v>
      </c>
      <c r="C17" s="2" t="s">
        <v>41</v>
      </c>
      <c r="D17" s="2" t="s">
        <v>10</v>
      </c>
      <c r="E17" s="2" t="s">
        <v>31</v>
      </c>
      <c r="F17" s="19">
        <v>44996</v>
      </c>
      <c r="G17" s="3">
        <v>34170</v>
      </c>
      <c r="H17" s="3">
        <v>78000</v>
      </c>
      <c r="I17" s="3">
        <v>34630</v>
      </c>
      <c r="J17" s="3">
        <f t="shared" si="0"/>
        <v>146800</v>
      </c>
    </row>
    <row r="18" spans="2:10" x14ac:dyDescent="0.3">
      <c r="B18" s="2" t="s">
        <v>42</v>
      </c>
      <c r="C18" s="2" t="s">
        <v>43</v>
      </c>
      <c r="D18" s="2" t="s">
        <v>14</v>
      </c>
      <c r="E18" s="2" t="s">
        <v>31</v>
      </c>
      <c r="F18" s="19">
        <v>45003</v>
      </c>
      <c r="G18" s="3">
        <v>0</v>
      </c>
      <c r="H18" s="3">
        <v>135000</v>
      </c>
      <c r="I18" s="3">
        <v>140520</v>
      </c>
      <c r="J18" s="3">
        <f t="shared" si="0"/>
        <v>275520</v>
      </c>
    </row>
    <row r="19" spans="2:10" x14ac:dyDescent="0.3">
      <c r="B19" s="2" t="s">
        <v>44</v>
      </c>
      <c r="C19" s="2" t="s">
        <v>45</v>
      </c>
      <c r="D19" s="2" t="s">
        <v>14</v>
      </c>
      <c r="E19" s="2" t="s">
        <v>11</v>
      </c>
      <c r="F19" s="19">
        <v>45008</v>
      </c>
      <c r="G19" s="3">
        <v>135000</v>
      </c>
      <c r="H19" s="3">
        <v>178000</v>
      </c>
      <c r="I19" s="3">
        <v>120200</v>
      </c>
      <c r="J19" s="3">
        <f t="shared" si="0"/>
        <v>433200</v>
      </c>
    </row>
    <row r="20" spans="2:10" x14ac:dyDescent="0.3">
      <c r="B20" s="2" t="s">
        <v>46</v>
      </c>
      <c r="C20" s="2" t="s">
        <v>47</v>
      </c>
      <c r="D20" s="2" t="s">
        <v>14</v>
      </c>
      <c r="E20" s="2" t="s">
        <v>18</v>
      </c>
      <c r="F20" s="19">
        <v>44997</v>
      </c>
      <c r="G20" s="3">
        <v>0</v>
      </c>
      <c r="H20" s="3">
        <v>15000</v>
      </c>
      <c r="I20" s="3">
        <v>23000</v>
      </c>
      <c r="J20" s="3">
        <f t="shared" si="0"/>
        <v>38000</v>
      </c>
    </row>
    <row r="21" spans="2:10" x14ac:dyDescent="0.3">
      <c r="B21" s="2" t="s">
        <v>48</v>
      </c>
      <c r="C21" s="2" t="s">
        <v>49</v>
      </c>
      <c r="D21" s="2" t="s">
        <v>14</v>
      </c>
      <c r="E21" s="2" t="s">
        <v>18</v>
      </c>
      <c r="F21" s="19">
        <v>44997</v>
      </c>
      <c r="G21" s="3">
        <v>12500</v>
      </c>
      <c r="H21" s="3">
        <v>5800</v>
      </c>
      <c r="I21" s="3">
        <v>22020</v>
      </c>
      <c r="J21" s="3">
        <f t="shared" si="0"/>
        <v>40320</v>
      </c>
    </row>
    <row r="23" spans="2:10" x14ac:dyDescent="0.3">
      <c r="B23" s="2" t="s">
        <v>202</v>
      </c>
    </row>
    <row r="24" spans="2:10" x14ac:dyDescent="0.3">
      <c r="B24" t="b">
        <f>OR(LEFT(B4,2)="PR",AND(E4="노원",MONTH(F4)=3))</f>
        <v>1</v>
      </c>
    </row>
    <row r="27" spans="2:10" x14ac:dyDescent="0.3">
      <c r="B27" s="1" t="s">
        <v>0</v>
      </c>
      <c r="C27" s="1" t="s">
        <v>1</v>
      </c>
      <c r="D27" s="1" t="s">
        <v>2</v>
      </c>
      <c r="E27" s="1" t="s">
        <v>3</v>
      </c>
      <c r="F27" s="1" t="s">
        <v>4</v>
      </c>
      <c r="G27" s="1" t="s">
        <v>5</v>
      </c>
      <c r="H27" s="1" t="s">
        <v>6</v>
      </c>
      <c r="I27" s="1" t="s">
        <v>7</v>
      </c>
      <c r="J27" s="1" t="s">
        <v>201</v>
      </c>
    </row>
    <row r="28" spans="2:10" x14ac:dyDescent="0.3">
      <c r="B28" s="2" t="s">
        <v>8</v>
      </c>
      <c r="C28" s="2" t="s">
        <v>9</v>
      </c>
      <c r="D28" s="2" t="s">
        <v>10</v>
      </c>
      <c r="E28" s="2" t="s">
        <v>11</v>
      </c>
      <c r="F28" s="19">
        <v>45006</v>
      </c>
      <c r="G28" s="3">
        <v>135000</v>
      </c>
      <c r="H28" s="3">
        <v>55000</v>
      </c>
      <c r="I28" s="3">
        <v>135000</v>
      </c>
      <c r="J28" s="3">
        <v>325000</v>
      </c>
    </row>
    <row r="29" spans="2:10" x14ac:dyDescent="0.3">
      <c r="B29" s="2" t="s">
        <v>23</v>
      </c>
      <c r="C29" s="2" t="s">
        <v>24</v>
      </c>
      <c r="D29" s="2" t="s">
        <v>10</v>
      </c>
      <c r="E29" s="2" t="s">
        <v>18</v>
      </c>
      <c r="F29" s="19">
        <v>44998</v>
      </c>
      <c r="G29" s="3">
        <v>0</v>
      </c>
      <c r="H29" s="3">
        <v>33250</v>
      </c>
      <c r="I29" s="3">
        <v>33250</v>
      </c>
      <c r="J29" s="3">
        <v>66500</v>
      </c>
    </row>
    <row r="30" spans="2:10" x14ac:dyDescent="0.3">
      <c r="B30" s="2" t="s">
        <v>29</v>
      </c>
      <c r="C30" s="2" t="s">
        <v>30</v>
      </c>
      <c r="D30" s="2" t="s">
        <v>10</v>
      </c>
      <c r="E30" s="2" t="s">
        <v>31</v>
      </c>
      <c r="F30" s="19">
        <v>45003</v>
      </c>
      <c r="G30" s="3">
        <v>140520</v>
      </c>
      <c r="H30" s="3">
        <v>135000</v>
      </c>
      <c r="I30" s="3">
        <v>152000</v>
      </c>
      <c r="J30" s="3">
        <v>427520</v>
      </c>
    </row>
    <row r="31" spans="2:10" x14ac:dyDescent="0.3">
      <c r="B31" s="2" t="s">
        <v>46</v>
      </c>
      <c r="C31" s="2" t="s">
        <v>47</v>
      </c>
      <c r="D31" s="2" t="s">
        <v>14</v>
      </c>
      <c r="E31" s="2" t="s">
        <v>18</v>
      </c>
      <c r="F31" s="19">
        <v>44997</v>
      </c>
      <c r="G31" s="3">
        <v>0</v>
      </c>
      <c r="H31" s="3">
        <v>15000</v>
      </c>
      <c r="I31" s="3">
        <v>23000</v>
      </c>
      <c r="J31" s="3">
        <v>38000</v>
      </c>
    </row>
    <row r="32" spans="2:10" x14ac:dyDescent="0.3">
      <c r="B32" s="2" t="s">
        <v>48</v>
      </c>
      <c r="C32" s="2" t="s">
        <v>49</v>
      </c>
      <c r="D32" s="2" t="s">
        <v>14</v>
      </c>
      <c r="E32" s="2" t="s">
        <v>18</v>
      </c>
      <c r="F32" s="19">
        <v>44997</v>
      </c>
      <c r="G32" s="3">
        <v>12500</v>
      </c>
      <c r="H32" s="3">
        <v>5800</v>
      </c>
      <c r="I32" s="3">
        <v>22020</v>
      </c>
      <c r="J32" s="3">
        <v>40320</v>
      </c>
    </row>
  </sheetData>
  <phoneticPr fontId="1" type="noConversion"/>
  <conditionalFormatting sqref="B4:J21">
    <cfRule type="expression" dxfId="1" priority="1">
      <formula>WEEKDAY($F4,2)&gt;=6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5D9C2-6DB7-4A44-8FEB-6F9DF23E43B3}">
  <sheetPr codeName="Sheet3"/>
  <dimension ref="A1:H50"/>
  <sheetViews>
    <sheetView workbookViewId="0"/>
  </sheetViews>
  <sheetFormatPr defaultRowHeight="16.5" x14ac:dyDescent="0.3"/>
  <cols>
    <col min="4" max="4" width="12.875" customWidth="1"/>
    <col min="5" max="5" width="14.625" customWidth="1"/>
    <col min="6" max="6" width="12.375" customWidth="1"/>
    <col min="7" max="7" width="13.75" customWidth="1"/>
    <col min="8" max="8" width="14.25" customWidth="1"/>
  </cols>
  <sheetData>
    <row r="1" spans="1:8" x14ac:dyDescent="0.3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</row>
    <row r="2" spans="1:8" x14ac:dyDescent="0.3">
      <c r="A2" s="2" t="s">
        <v>58</v>
      </c>
      <c r="B2" s="2" t="s">
        <v>59</v>
      </c>
      <c r="C2" s="2" t="s">
        <v>60</v>
      </c>
      <c r="D2" s="4">
        <v>1743700</v>
      </c>
      <c r="E2" s="4">
        <v>100000</v>
      </c>
      <c r="F2" s="4">
        <v>0</v>
      </c>
      <c r="G2" s="4">
        <v>300000</v>
      </c>
      <c r="H2" s="4">
        <v>2143700</v>
      </c>
    </row>
    <row r="3" spans="1:8" x14ac:dyDescent="0.3">
      <c r="A3" s="2" t="s">
        <v>61</v>
      </c>
      <c r="B3" s="2" t="s">
        <v>59</v>
      </c>
      <c r="C3" s="2" t="s">
        <v>62</v>
      </c>
      <c r="D3" s="4">
        <v>1280000</v>
      </c>
      <c r="E3" s="4">
        <v>100000</v>
      </c>
      <c r="F3" s="4">
        <v>70000</v>
      </c>
      <c r="G3" s="4">
        <v>0</v>
      </c>
      <c r="H3" s="4">
        <v>1450000</v>
      </c>
    </row>
    <row r="4" spans="1:8" x14ac:dyDescent="0.3">
      <c r="A4" s="2" t="s">
        <v>63</v>
      </c>
      <c r="B4" s="2" t="s">
        <v>59</v>
      </c>
      <c r="C4" s="2" t="s">
        <v>62</v>
      </c>
      <c r="D4" s="4">
        <v>1280000</v>
      </c>
      <c r="E4" s="4">
        <v>100000</v>
      </c>
      <c r="F4" s="4">
        <v>70000</v>
      </c>
      <c r="G4" s="4">
        <v>0</v>
      </c>
      <c r="H4" s="4">
        <v>1450000</v>
      </c>
    </row>
    <row r="5" spans="1:8" x14ac:dyDescent="0.3">
      <c r="A5" s="2" t="s">
        <v>64</v>
      </c>
      <c r="B5" s="2" t="s">
        <v>65</v>
      </c>
      <c r="C5" s="2" t="s">
        <v>62</v>
      </c>
      <c r="D5" s="4">
        <v>1020000</v>
      </c>
      <c r="E5" s="4">
        <v>100000</v>
      </c>
      <c r="F5" s="4">
        <v>70000</v>
      </c>
      <c r="G5" s="4">
        <v>0</v>
      </c>
      <c r="H5" s="4">
        <v>1190000</v>
      </c>
    </row>
    <row r="6" spans="1:8" x14ac:dyDescent="0.3">
      <c r="A6" s="2" t="s">
        <v>66</v>
      </c>
      <c r="B6" s="2" t="s">
        <v>65</v>
      </c>
      <c r="C6" s="2" t="s">
        <v>60</v>
      </c>
      <c r="D6" s="4">
        <v>1793700</v>
      </c>
      <c r="E6" s="4">
        <v>100000</v>
      </c>
      <c r="F6" s="4">
        <v>0</v>
      </c>
      <c r="G6" s="4">
        <v>300000</v>
      </c>
      <c r="H6" s="4">
        <v>2193700</v>
      </c>
    </row>
    <row r="7" spans="1:8" x14ac:dyDescent="0.3">
      <c r="A7" s="2" t="s">
        <v>67</v>
      </c>
      <c r="B7" s="2" t="s">
        <v>65</v>
      </c>
      <c r="C7" s="2" t="s">
        <v>62</v>
      </c>
      <c r="D7" s="4">
        <v>1020000</v>
      </c>
      <c r="E7" s="4">
        <v>100000</v>
      </c>
      <c r="F7" s="4">
        <v>70000</v>
      </c>
      <c r="G7" s="4">
        <v>0</v>
      </c>
      <c r="H7" s="4">
        <v>1190000</v>
      </c>
    </row>
    <row r="8" spans="1:8" x14ac:dyDescent="0.3">
      <c r="A8" s="2" t="s">
        <v>68</v>
      </c>
      <c r="B8" s="2" t="s">
        <v>69</v>
      </c>
      <c r="C8" s="2" t="s">
        <v>60</v>
      </c>
      <c r="D8" s="4">
        <v>1388900</v>
      </c>
      <c r="E8" s="4">
        <v>100000</v>
      </c>
      <c r="F8" s="4">
        <v>0</v>
      </c>
      <c r="G8" s="4">
        <v>300000</v>
      </c>
      <c r="H8" s="4">
        <v>1788900</v>
      </c>
    </row>
    <row r="9" spans="1:8" x14ac:dyDescent="0.3">
      <c r="A9" s="2" t="s">
        <v>70</v>
      </c>
      <c r="B9" s="2" t="s">
        <v>69</v>
      </c>
      <c r="C9" s="2" t="s">
        <v>71</v>
      </c>
      <c r="D9" s="4">
        <v>2768100</v>
      </c>
      <c r="E9" s="4">
        <v>100000</v>
      </c>
      <c r="F9" s="4">
        <v>0</v>
      </c>
      <c r="G9" s="4">
        <v>300000</v>
      </c>
      <c r="H9" s="4">
        <v>3168100</v>
      </c>
    </row>
    <row r="10" spans="1:8" x14ac:dyDescent="0.3">
      <c r="A10" s="2" t="s">
        <v>72</v>
      </c>
      <c r="B10" s="2" t="s">
        <v>59</v>
      </c>
      <c r="C10" s="2" t="s">
        <v>60</v>
      </c>
      <c r="D10" s="4">
        <v>1428900</v>
      </c>
      <c r="E10" s="4">
        <v>100000</v>
      </c>
      <c r="F10" s="4">
        <v>0</v>
      </c>
      <c r="G10" s="4">
        <v>300000</v>
      </c>
      <c r="H10" s="4">
        <v>1828900</v>
      </c>
    </row>
    <row r="11" spans="1:8" x14ac:dyDescent="0.3">
      <c r="A11" s="2" t="s">
        <v>73</v>
      </c>
      <c r="B11" s="2" t="s">
        <v>59</v>
      </c>
      <c r="C11" s="2" t="s">
        <v>60</v>
      </c>
      <c r="D11" s="4">
        <v>1428900</v>
      </c>
      <c r="E11" s="4">
        <v>100000</v>
      </c>
      <c r="F11" s="4">
        <v>0</v>
      </c>
      <c r="G11" s="4">
        <v>300000</v>
      </c>
      <c r="H11" s="4">
        <v>1828900</v>
      </c>
    </row>
    <row r="12" spans="1:8" x14ac:dyDescent="0.3">
      <c r="A12" s="2" t="s">
        <v>74</v>
      </c>
      <c r="B12" s="2" t="s">
        <v>59</v>
      </c>
      <c r="C12" s="2" t="s">
        <v>71</v>
      </c>
      <c r="D12" s="4">
        <v>3002900</v>
      </c>
      <c r="E12" s="4">
        <v>100000</v>
      </c>
      <c r="F12" s="4">
        <v>0</v>
      </c>
      <c r="G12" s="4">
        <v>300000</v>
      </c>
      <c r="H12" s="4">
        <v>3402900</v>
      </c>
    </row>
    <row r="13" spans="1:8" x14ac:dyDescent="0.3">
      <c r="A13" s="2" t="s">
        <v>75</v>
      </c>
      <c r="B13" s="2" t="s">
        <v>65</v>
      </c>
      <c r="C13" s="2" t="s">
        <v>60</v>
      </c>
      <c r="D13" s="4">
        <v>1468900</v>
      </c>
      <c r="E13" s="4">
        <v>100000</v>
      </c>
      <c r="F13" s="4">
        <v>0</v>
      </c>
      <c r="G13" s="4">
        <v>300000</v>
      </c>
      <c r="H13" s="4">
        <v>1868900</v>
      </c>
    </row>
    <row r="14" spans="1:8" x14ac:dyDescent="0.3">
      <c r="A14" s="2" t="s">
        <v>76</v>
      </c>
      <c r="B14" s="2" t="s">
        <v>65</v>
      </c>
      <c r="C14" s="2" t="s">
        <v>60</v>
      </c>
      <c r="D14" s="4">
        <v>1468900</v>
      </c>
      <c r="E14" s="4">
        <v>100000</v>
      </c>
      <c r="F14" s="4">
        <v>0</v>
      </c>
      <c r="G14" s="4">
        <v>300000</v>
      </c>
      <c r="H14" s="4">
        <v>1868900</v>
      </c>
    </row>
    <row r="15" spans="1:8" x14ac:dyDescent="0.3">
      <c r="A15" s="2" t="s">
        <v>77</v>
      </c>
      <c r="B15" s="2" t="s">
        <v>65</v>
      </c>
      <c r="C15" s="2" t="s">
        <v>60</v>
      </c>
      <c r="D15" s="4">
        <v>1468900</v>
      </c>
      <c r="E15" s="4">
        <v>100000</v>
      </c>
      <c r="F15" s="4">
        <v>0</v>
      </c>
      <c r="G15" s="4">
        <v>300000</v>
      </c>
      <c r="H15" s="4">
        <v>1868900</v>
      </c>
    </row>
    <row r="16" spans="1:8" x14ac:dyDescent="0.3">
      <c r="A16" s="2" t="s">
        <v>78</v>
      </c>
      <c r="B16" s="2" t="s">
        <v>69</v>
      </c>
      <c r="C16" s="2" t="s">
        <v>79</v>
      </c>
      <c r="D16" s="4">
        <v>845200</v>
      </c>
      <c r="E16" s="4">
        <v>100000</v>
      </c>
      <c r="F16" s="4">
        <v>70000</v>
      </c>
      <c r="G16" s="4">
        <v>0</v>
      </c>
      <c r="H16" s="4">
        <v>1015200</v>
      </c>
    </row>
    <row r="17" spans="1:8" x14ac:dyDescent="0.3">
      <c r="A17" s="2" t="s">
        <v>80</v>
      </c>
      <c r="B17" s="2" t="s">
        <v>69</v>
      </c>
      <c r="C17" s="2" t="s">
        <v>79</v>
      </c>
      <c r="D17" s="4">
        <v>845200</v>
      </c>
      <c r="E17" s="4">
        <v>100000</v>
      </c>
      <c r="F17" s="4">
        <v>70000</v>
      </c>
      <c r="G17" s="4">
        <v>0</v>
      </c>
      <c r="H17" s="4">
        <v>1015200</v>
      </c>
    </row>
    <row r="18" spans="1:8" x14ac:dyDescent="0.3">
      <c r="A18" s="2" t="s">
        <v>81</v>
      </c>
      <c r="B18" s="2" t="s">
        <v>82</v>
      </c>
      <c r="C18" s="2" t="s">
        <v>62</v>
      </c>
      <c r="D18" s="4">
        <v>1020000</v>
      </c>
      <c r="E18" s="4">
        <v>100000</v>
      </c>
      <c r="F18" s="4">
        <v>70000</v>
      </c>
      <c r="G18" s="4">
        <v>0</v>
      </c>
      <c r="H18" s="4">
        <v>1190000</v>
      </c>
    </row>
    <row r="19" spans="1:8" x14ac:dyDescent="0.3">
      <c r="A19" s="2" t="s">
        <v>83</v>
      </c>
      <c r="B19" s="2" t="s">
        <v>82</v>
      </c>
      <c r="C19" s="2" t="s">
        <v>62</v>
      </c>
      <c r="D19" s="4">
        <v>798900</v>
      </c>
      <c r="E19" s="4">
        <v>100000</v>
      </c>
      <c r="F19" s="4">
        <v>70000</v>
      </c>
      <c r="G19" s="4">
        <v>0</v>
      </c>
      <c r="H19" s="4">
        <v>968900</v>
      </c>
    </row>
    <row r="20" spans="1:8" x14ac:dyDescent="0.3">
      <c r="A20" s="2" t="s">
        <v>84</v>
      </c>
      <c r="B20" s="2" t="s">
        <v>65</v>
      </c>
      <c r="C20" s="2" t="s">
        <v>79</v>
      </c>
      <c r="D20" s="4">
        <v>766300</v>
      </c>
      <c r="E20" s="4">
        <v>100000</v>
      </c>
      <c r="F20" s="4">
        <v>70000</v>
      </c>
      <c r="G20" s="4">
        <v>0</v>
      </c>
      <c r="H20" s="4">
        <v>936300</v>
      </c>
    </row>
    <row r="21" spans="1:8" x14ac:dyDescent="0.3">
      <c r="A21" s="2" t="s">
        <v>85</v>
      </c>
      <c r="B21" s="2" t="s">
        <v>65</v>
      </c>
      <c r="C21" s="2" t="s">
        <v>62</v>
      </c>
      <c r="D21" s="4">
        <v>1250000</v>
      </c>
      <c r="E21" s="4">
        <v>100000</v>
      </c>
      <c r="F21" s="4">
        <v>70000</v>
      </c>
      <c r="G21" s="4">
        <v>0</v>
      </c>
      <c r="H21" s="4">
        <v>1420000</v>
      </c>
    </row>
    <row r="22" spans="1:8" x14ac:dyDescent="0.3">
      <c r="A22" s="2" t="s">
        <v>86</v>
      </c>
      <c r="B22" s="2" t="s">
        <v>65</v>
      </c>
      <c r="C22" s="2" t="s">
        <v>79</v>
      </c>
      <c r="D22" s="4">
        <v>766300</v>
      </c>
      <c r="E22" s="4">
        <v>100000</v>
      </c>
      <c r="F22" s="4">
        <v>70000</v>
      </c>
      <c r="G22" s="4">
        <v>0</v>
      </c>
      <c r="H22" s="4">
        <v>936300</v>
      </c>
    </row>
    <row r="23" spans="1:8" x14ac:dyDescent="0.3">
      <c r="A23" s="2" t="s">
        <v>87</v>
      </c>
      <c r="B23" s="2" t="s">
        <v>82</v>
      </c>
      <c r="C23" s="2" t="s">
        <v>88</v>
      </c>
      <c r="D23" s="4">
        <v>2303300</v>
      </c>
      <c r="E23" s="4">
        <v>100000</v>
      </c>
      <c r="F23" s="4">
        <v>0</v>
      </c>
      <c r="G23" s="4">
        <v>300000</v>
      </c>
      <c r="H23" s="4">
        <v>2703300</v>
      </c>
    </row>
    <row r="24" spans="1:8" x14ac:dyDescent="0.3">
      <c r="A24" s="2" t="s">
        <v>89</v>
      </c>
      <c r="B24" s="2" t="s">
        <v>65</v>
      </c>
      <c r="C24" s="2" t="s">
        <v>79</v>
      </c>
      <c r="D24" s="4">
        <v>766300</v>
      </c>
      <c r="E24" s="4">
        <v>100000</v>
      </c>
      <c r="F24" s="4">
        <v>70000</v>
      </c>
      <c r="G24" s="4">
        <v>0</v>
      </c>
      <c r="H24" s="4">
        <v>936300</v>
      </c>
    </row>
    <row r="25" spans="1:8" x14ac:dyDescent="0.3">
      <c r="A25" s="2" t="s">
        <v>90</v>
      </c>
      <c r="B25" s="2" t="s">
        <v>65</v>
      </c>
      <c r="C25" s="2" t="s">
        <v>71</v>
      </c>
      <c r="D25" s="4">
        <v>2608100</v>
      </c>
      <c r="E25" s="4">
        <v>100000</v>
      </c>
      <c r="F25" s="4">
        <v>0</v>
      </c>
      <c r="G25" s="4">
        <v>300000</v>
      </c>
      <c r="H25" s="4">
        <v>3008100</v>
      </c>
    </row>
    <row r="26" spans="1:8" x14ac:dyDescent="0.3">
      <c r="A26" s="2" t="s">
        <v>91</v>
      </c>
      <c r="B26" s="2" t="s">
        <v>65</v>
      </c>
      <c r="C26" s="2" t="s">
        <v>79</v>
      </c>
      <c r="D26" s="4">
        <v>766300</v>
      </c>
      <c r="E26" s="4">
        <v>100000</v>
      </c>
      <c r="F26" s="4">
        <v>70000</v>
      </c>
      <c r="G26" s="4">
        <v>0</v>
      </c>
      <c r="H26" s="4">
        <v>936300</v>
      </c>
    </row>
    <row r="27" spans="1:8" x14ac:dyDescent="0.3">
      <c r="A27" s="2" t="s">
        <v>92</v>
      </c>
      <c r="B27" s="2" t="s">
        <v>82</v>
      </c>
      <c r="C27" s="2" t="s">
        <v>71</v>
      </c>
      <c r="D27" s="4">
        <v>2912900</v>
      </c>
      <c r="E27" s="4">
        <v>100000</v>
      </c>
      <c r="F27" s="4">
        <v>0</v>
      </c>
      <c r="G27" s="4">
        <v>300000</v>
      </c>
      <c r="H27" s="4">
        <v>3312900</v>
      </c>
    </row>
    <row r="28" spans="1:8" x14ac:dyDescent="0.3">
      <c r="A28" s="2" t="s">
        <v>93</v>
      </c>
      <c r="B28" s="2" t="s">
        <v>65</v>
      </c>
      <c r="C28" s="2" t="s">
        <v>79</v>
      </c>
      <c r="D28" s="4">
        <v>766300</v>
      </c>
      <c r="E28" s="4">
        <v>100000</v>
      </c>
      <c r="F28" s="4">
        <v>70000</v>
      </c>
      <c r="G28" s="4">
        <v>0</v>
      </c>
      <c r="H28" s="4">
        <v>936300</v>
      </c>
    </row>
    <row r="29" spans="1:8" x14ac:dyDescent="0.3">
      <c r="A29" s="2" t="s">
        <v>94</v>
      </c>
      <c r="B29" s="2" t="s">
        <v>59</v>
      </c>
      <c r="C29" s="2" t="s">
        <v>79</v>
      </c>
      <c r="D29" s="4">
        <v>673600</v>
      </c>
      <c r="E29" s="4">
        <v>100000</v>
      </c>
      <c r="F29" s="4">
        <v>70000</v>
      </c>
      <c r="G29" s="4">
        <v>0</v>
      </c>
      <c r="H29" s="4">
        <v>843600</v>
      </c>
    </row>
    <row r="30" spans="1:8" x14ac:dyDescent="0.3">
      <c r="A30" s="2" t="s">
        <v>95</v>
      </c>
      <c r="B30" s="2" t="s">
        <v>59</v>
      </c>
      <c r="C30" s="2" t="s">
        <v>62</v>
      </c>
      <c r="D30" s="4">
        <v>1020000</v>
      </c>
      <c r="E30" s="4">
        <v>100000</v>
      </c>
      <c r="F30" s="4">
        <v>70000</v>
      </c>
      <c r="G30" s="4">
        <v>0</v>
      </c>
      <c r="H30" s="4">
        <v>1190000</v>
      </c>
    </row>
    <row r="31" spans="1:8" x14ac:dyDescent="0.3">
      <c r="A31" s="2" t="s">
        <v>96</v>
      </c>
      <c r="B31" s="2" t="s">
        <v>59</v>
      </c>
      <c r="C31" s="2" t="s">
        <v>62</v>
      </c>
      <c r="D31" s="4">
        <v>1280000</v>
      </c>
      <c r="E31" s="4">
        <v>100000</v>
      </c>
      <c r="F31" s="4">
        <v>70000</v>
      </c>
      <c r="G31" s="4">
        <v>0</v>
      </c>
      <c r="H31" s="4">
        <v>1450000</v>
      </c>
    </row>
    <row r="32" spans="1:8" x14ac:dyDescent="0.3">
      <c r="A32" s="2" t="s">
        <v>97</v>
      </c>
      <c r="B32" s="2" t="s">
        <v>59</v>
      </c>
      <c r="C32" s="2" t="s">
        <v>62</v>
      </c>
      <c r="D32" s="4">
        <v>798900</v>
      </c>
      <c r="E32" s="4">
        <v>100000</v>
      </c>
      <c r="F32" s="4">
        <v>70000</v>
      </c>
      <c r="G32" s="4">
        <v>0</v>
      </c>
      <c r="H32" s="4">
        <v>968900</v>
      </c>
    </row>
    <row r="33" spans="1:8" x14ac:dyDescent="0.3">
      <c r="A33" s="2" t="s">
        <v>98</v>
      </c>
      <c r="B33" s="2" t="s">
        <v>59</v>
      </c>
      <c r="C33" s="2" t="s">
        <v>62</v>
      </c>
      <c r="D33" s="4">
        <v>1280000</v>
      </c>
      <c r="E33" s="4">
        <v>100000</v>
      </c>
      <c r="F33" s="4">
        <v>70000</v>
      </c>
      <c r="G33" s="4">
        <v>0</v>
      </c>
      <c r="H33" s="4">
        <v>1450000</v>
      </c>
    </row>
    <row r="34" spans="1:8" x14ac:dyDescent="0.3">
      <c r="A34" s="2" t="s">
        <v>99</v>
      </c>
      <c r="B34" s="2" t="s">
        <v>59</v>
      </c>
      <c r="C34" s="2" t="s">
        <v>79</v>
      </c>
      <c r="D34" s="4">
        <v>653500</v>
      </c>
      <c r="E34" s="4">
        <v>100000</v>
      </c>
      <c r="F34" s="4">
        <v>70000</v>
      </c>
      <c r="G34" s="4">
        <v>0</v>
      </c>
      <c r="H34" s="4">
        <v>823500</v>
      </c>
    </row>
    <row r="35" spans="1:8" x14ac:dyDescent="0.3">
      <c r="A35" s="2" t="s">
        <v>100</v>
      </c>
      <c r="B35" s="2" t="s">
        <v>59</v>
      </c>
      <c r="C35" s="2" t="s">
        <v>71</v>
      </c>
      <c r="D35" s="4">
        <v>2688100</v>
      </c>
      <c r="E35" s="4">
        <v>100000</v>
      </c>
      <c r="F35" s="4">
        <v>0</v>
      </c>
      <c r="G35" s="4">
        <v>300000</v>
      </c>
      <c r="H35" s="4">
        <v>3088100</v>
      </c>
    </row>
    <row r="36" spans="1:8" x14ac:dyDescent="0.3">
      <c r="A36" s="2" t="s">
        <v>101</v>
      </c>
      <c r="B36" s="2" t="s">
        <v>65</v>
      </c>
      <c r="C36" s="2" t="s">
        <v>88</v>
      </c>
      <c r="D36" s="4">
        <v>2373300</v>
      </c>
      <c r="E36" s="4">
        <v>100000</v>
      </c>
      <c r="F36" s="4">
        <v>0</v>
      </c>
      <c r="G36" s="4">
        <v>300000</v>
      </c>
      <c r="H36" s="4">
        <v>2773300</v>
      </c>
    </row>
    <row r="37" spans="1:8" x14ac:dyDescent="0.3">
      <c r="A37" s="2" t="s">
        <v>102</v>
      </c>
      <c r="B37" s="2" t="s">
        <v>59</v>
      </c>
      <c r="C37" s="2" t="s">
        <v>79</v>
      </c>
      <c r="D37" s="4">
        <v>653500</v>
      </c>
      <c r="E37" s="4">
        <v>100000</v>
      </c>
      <c r="F37" s="4">
        <v>70000</v>
      </c>
      <c r="G37" s="4">
        <v>0</v>
      </c>
      <c r="H37" s="4">
        <v>823500</v>
      </c>
    </row>
    <row r="38" spans="1:8" x14ac:dyDescent="0.3">
      <c r="A38" s="2" t="s">
        <v>103</v>
      </c>
      <c r="B38" s="2" t="s">
        <v>59</v>
      </c>
      <c r="C38" s="2" t="s">
        <v>79</v>
      </c>
      <c r="D38" s="4">
        <v>653500</v>
      </c>
      <c r="E38" s="4">
        <v>100000</v>
      </c>
      <c r="F38" s="4">
        <v>70000</v>
      </c>
      <c r="G38" s="4">
        <v>0</v>
      </c>
      <c r="H38" s="4">
        <v>823500</v>
      </c>
    </row>
    <row r="39" spans="1:8" x14ac:dyDescent="0.3">
      <c r="A39" s="2" t="s">
        <v>104</v>
      </c>
      <c r="B39" s="2" t="s">
        <v>65</v>
      </c>
      <c r="C39" s="2" t="s">
        <v>71</v>
      </c>
      <c r="D39" s="4">
        <v>3002900</v>
      </c>
      <c r="E39" s="4">
        <v>100000</v>
      </c>
      <c r="F39" s="4">
        <v>0</v>
      </c>
      <c r="G39" s="4">
        <v>300000</v>
      </c>
      <c r="H39" s="4">
        <v>3402900</v>
      </c>
    </row>
    <row r="40" spans="1:8" x14ac:dyDescent="0.3">
      <c r="A40" s="2" t="s">
        <v>105</v>
      </c>
      <c r="B40" s="2" t="s">
        <v>59</v>
      </c>
      <c r="C40" s="2" t="s">
        <v>79</v>
      </c>
      <c r="D40" s="4">
        <v>653500</v>
      </c>
      <c r="E40" s="4">
        <v>100000</v>
      </c>
      <c r="F40" s="4">
        <v>70000</v>
      </c>
      <c r="G40" s="4">
        <v>0</v>
      </c>
      <c r="H40" s="4">
        <v>823500</v>
      </c>
    </row>
    <row r="41" spans="1:8" x14ac:dyDescent="0.3">
      <c r="A41" s="2" t="s">
        <v>106</v>
      </c>
      <c r="B41" s="2" t="s">
        <v>59</v>
      </c>
      <c r="C41" s="2" t="s">
        <v>88</v>
      </c>
      <c r="D41" s="4">
        <v>2058500</v>
      </c>
      <c r="E41" s="4">
        <v>100000</v>
      </c>
      <c r="F41" s="4">
        <v>0</v>
      </c>
      <c r="G41" s="4">
        <v>300000</v>
      </c>
      <c r="H41" s="4">
        <v>2458500</v>
      </c>
    </row>
    <row r="42" spans="1:8" x14ac:dyDescent="0.3">
      <c r="A42" s="2" t="s">
        <v>107</v>
      </c>
      <c r="B42" s="2" t="s">
        <v>65</v>
      </c>
      <c r="C42" s="2" t="s">
        <v>88</v>
      </c>
      <c r="D42" s="4">
        <v>2373300</v>
      </c>
      <c r="E42" s="4">
        <v>100000</v>
      </c>
      <c r="F42" s="4">
        <v>0</v>
      </c>
      <c r="G42" s="4">
        <v>300000</v>
      </c>
      <c r="H42" s="4">
        <v>2773300</v>
      </c>
    </row>
    <row r="43" spans="1:8" x14ac:dyDescent="0.3">
      <c r="A43" s="2" t="s">
        <v>108</v>
      </c>
      <c r="B43" s="2" t="s">
        <v>59</v>
      </c>
      <c r="C43" s="2" t="s">
        <v>79</v>
      </c>
      <c r="D43" s="4">
        <v>653500</v>
      </c>
      <c r="E43" s="4">
        <v>100000</v>
      </c>
      <c r="F43" s="4">
        <v>70000</v>
      </c>
      <c r="G43" s="4">
        <v>0</v>
      </c>
      <c r="H43" s="4">
        <v>823500</v>
      </c>
    </row>
    <row r="44" spans="1:8" x14ac:dyDescent="0.3">
      <c r="A44" s="2" t="s">
        <v>109</v>
      </c>
      <c r="B44" s="2" t="s">
        <v>82</v>
      </c>
      <c r="C44" s="2" t="s">
        <v>71</v>
      </c>
      <c r="D44" s="4">
        <v>2608100</v>
      </c>
      <c r="E44" s="4">
        <v>100000</v>
      </c>
      <c r="F44" s="4">
        <v>0</v>
      </c>
      <c r="G44" s="4">
        <v>300000</v>
      </c>
      <c r="H44" s="4">
        <v>3008100</v>
      </c>
    </row>
    <row r="45" spans="1:8" x14ac:dyDescent="0.3">
      <c r="A45" s="2" t="s">
        <v>110</v>
      </c>
      <c r="B45" s="2" t="s">
        <v>82</v>
      </c>
      <c r="C45" s="2" t="s">
        <v>79</v>
      </c>
      <c r="D45" s="4">
        <v>633400</v>
      </c>
      <c r="E45" s="4">
        <v>100000</v>
      </c>
      <c r="F45" s="4">
        <v>70000</v>
      </c>
      <c r="G45" s="4">
        <v>0</v>
      </c>
      <c r="H45" s="4">
        <v>803400</v>
      </c>
    </row>
    <row r="46" spans="1:8" x14ac:dyDescent="0.3">
      <c r="A46" s="2" t="s">
        <v>111</v>
      </c>
      <c r="B46" s="2" t="s">
        <v>82</v>
      </c>
      <c r="C46" s="2" t="s">
        <v>62</v>
      </c>
      <c r="D46" s="4">
        <v>1250000</v>
      </c>
      <c r="E46" s="4">
        <v>100000</v>
      </c>
      <c r="F46" s="4">
        <v>70000</v>
      </c>
      <c r="G46" s="4">
        <v>0</v>
      </c>
      <c r="H46" s="4">
        <v>1420000</v>
      </c>
    </row>
    <row r="47" spans="1:8" x14ac:dyDescent="0.3">
      <c r="A47" s="2" t="s">
        <v>112</v>
      </c>
      <c r="B47" s="2" t="s">
        <v>82</v>
      </c>
      <c r="C47" s="2" t="s">
        <v>62</v>
      </c>
      <c r="D47" s="4">
        <v>1250000</v>
      </c>
      <c r="E47" s="4">
        <v>100000</v>
      </c>
      <c r="F47" s="4">
        <v>70000</v>
      </c>
      <c r="G47" s="4">
        <v>0</v>
      </c>
      <c r="H47" s="4">
        <v>1420000</v>
      </c>
    </row>
    <row r="48" spans="1:8" x14ac:dyDescent="0.3">
      <c r="A48" s="2" t="s">
        <v>113</v>
      </c>
      <c r="B48" s="2" t="s">
        <v>82</v>
      </c>
      <c r="C48" s="2" t="s">
        <v>60</v>
      </c>
      <c r="D48" s="4">
        <v>1793700</v>
      </c>
      <c r="E48" s="4">
        <v>100000</v>
      </c>
      <c r="F48" s="4">
        <v>0</v>
      </c>
      <c r="G48" s="4">
        <v>300000</v>
      </c>
      <c r="H48" s="4">
        <v>2193700</v>
      </c>
    </row>
    <row r="49" spans="1:8" x14ac:dyDescent="0.3">
      <c r="A49" s="2" t="s">
        <v>114</v>
      </c>
      <c r="B49" s="2" t="s">
        <v>82</v>
      </c>
      <c r="C49" s="2" t="s">
        <v>71</v>
      </c>
      <c r="D49" s="4">
        <v>3092900</v>
      </c>
      <c r="E49" s="4">
        <v>100000</v>
      </c>
      <c r="F49" s="4">
        <v>0</v>
      </c>
      <c r="G49" s="4">
        <v>300000</v>
      </c>
      <c r="H49" s="4">
        <v>3492900</v>
      </c>
    </row>
    <row r="50" spans="1:8" x14ac:dyDescent="0.3">
      <c r="A50" s="2" t="s">
        <v>115</v>
      </c>
      <c r="B50" s="2" t="s">
        <v>82</v>
      </c>
      <c r="C50" s="2" t="s">
        <v>62</v>
      </c>
      <c r="D50" s="4">
        <v>1250000</v>
      </c>
      <c r="E50" s="4">
        <v>100000</v>
      </c>
      <c r="F50" s="4">
        <v>70000</v>
      </c>
      <c r="G50" s="4">
        <v>0</v>
      </c>
      <c r="H50" s="4">
        <v>1420000</v>
      </c>
    </row>
  </sheetData>
  <phoneticPr fontId="1" type="noConversion"/>
  <printOptions heading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Header>&amp;R&amp;G</oddHeader>
  </headerFooter>
  <rowBreaks count="1" manualBreakCount="1">
    <brk id="25" max="16383" man="1"/>
  </row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K27"/>
  <sheetViews>
    <sheetView workbookViewId="0"/>
  </sheetViews>
  <sheetFormatPr defaultRowHeight="16.5" x14ac:dyDescent="0.3"/>
  <cols>
    <col min="2" max="2" width="14.75" bestFit="1" customWidth="1"/>
    <col min="3" max="3" width="13.125" bestFit="1" customWidth="1"/>
    <col min="4" max="4" width="5.25" bestFit="1" customWidth="1"/>
    <col min="5" max="5" width="6.875" bestFit="1" customWidth="1"/>
    <col min="6" max="6" width="10.875" bestFit="1" customWidth="1"/>
    <col min="7" max="7" width="9.5" bestFit="1" customWidth="1"/>
    <col min="8" max="8" width="11" bestFit="1" customWidth="1"/>
    <col min="9" max="9" width="11.25" bestFit="1" customWidth="1"/>
    <col min="10" max="10" width="10.875" bestFit="1" customWidth="1"/>
    <col min="11" max="11" width="11.75" bestFit="1" customWidth="1"/>
  </cols>
  <sheetData>
    <row r="1" spans="1:11" x14ac:dyDescent="0.3">
      <c r="A1" t="s">
        <v>116</v>
      </c>
      <c r="E1" t="s">
        <v>117</v>
      </c>
      <c r="F1" t="s">
        <v>53</v>
      </c>
    </row>
    <row r="2" spans="1:11" x14ac:dyDescent="0.3">
      <c r="A2" s="5" t="s">
        <v>51</v>
      </c>
      <c r="B2" s="1" t="s">
        <v>118</v>
      </c>
      <c r="C2" s="1" t="s">
        <v>119</v>
      </c>
      <c r="E2" s="5"/>
      <c r="F2" s="5" t="s">
        <v>79</v>
      </c>
      <c r="G2" s="5" t="s">
        <v>62</v>
      </c>
      <c r="H2" s="5" t="s">
        <v>60</v>
      </c>
      <c r="I2" s="5" t="s">
        <v>88</v>
      </c>
      <c r="J2" s="5" t="s">
        <v>71</v>
      </c>
    </row>
    <row r="3" spans="1:11" x14ac:dyDescent="0.3">
      <c r="A3" s="5" t="s">
        <v>59</v>
      </c>
      <c r="B3" s="5" t="str">
        <f t="array" ref="B3">SUM(IF(($B$12:$B$27=A3)*(($E$12:$E$27="2호봉")+($E$12:$E$27="3호봉")),1))&amp;"명"</f>
        <v>3명</v>
      </c>
      <c r="C3" s="7">
        <f t="array" ref="C3">MAX(($B$12:$B$27=A3)*$F$12:$F$27)-AVERAGE(IF($B$12:$B$27=A3,$F$12:$F$27))</f>
        <v>574950</v>
      </c>
      <c r="E3" s="5" t="s">
        <v>120</v>
      </c>
      <c r="F3" s="7">
        <v>633400</v>
      </c>
      <c r="G3" s="7">
        <v>766300</v>
      </c>
      <c r="H3" s="7">
        <v>989200</v>
      </c>
      <c r="I3" s="7">
        <v>1250000</v>
      </c>
      <c r="J3" s="7">
        <v>1388900</v>
      </c>
    </row>
    <row r="4" spans="1:11" x14ac:dyDescent="0.3">
      <c r="A4" s="5" t="s">
        <v>82</v>
      </c>
      <c r="B4" s="5" t="str">
        <f t="array" ref="B4">SUM(IF(($B$12:$B$27=A4)*(($E$12:$E$27="2호봉")+($E$12:$E$27="3호봉")),1))&amp;"명"</f>
        <v>2명</v>
      </c>
      <c r="C4" s="7">
        <f t="array" ref="C4">MAX(($B$12:$B$27=A4)*$F$12:$F$27)-AVERAGE(IF($B$12:$B$27=A4,$F$12:$F$27))</f>
        <v>363050</v>
      </c>
      <c r="E4" s="5" t="s">
        <v>121</v>
      </c>
      <c r="F4" s="7">
        <v>653500</v>
      </c>
      <c r="G4" s="7">
        <v>792600</v>
      </c>
      <c r="H4" s="7">
        <v>798900</v>
      </c>
      <c r="I4" s="7">
        <v>1280000</v>
      </c>
      <c r="J4" s="7">
        <v>1428900</v>
      </c>
    </row>
    <row r="5" spans="1:11" x14ac:dyDescent="0.3">
      <c r="A5" s="5" t="s">
        <v>65</v>
      </c>
      <c r="B5" s="5" t="str">
        <f t="array" ref="B5">SUM(IF(($B$12:$B$27=A5)*(($E$12:$E$27="2호봉")+($E$12:$E$27="3호봉")),1))&amp;"명"</f>
        <v>3명</v>
      </c>
      <c r="C5" s="7">
        <f t="array" ref="C5">MAX(($B$12:$B$27=A5)*$F$12:$F$27)-AVERAGE(IF($B$12:$B$27=A5,$F$12:$F$27))</f>
        <v>105525</v>
      </c>
      <c r="E5" s="5" t="s">
        <v>122</v>
      </c>
      <c r="F5" s="7">
        <v>673600</v>
      </c>
      <c r="G5" s="7">
        <v>818900</v>
      </c>
      <c r="H5" s="7">
        <v>1020000</v>
      </c>
      <c r="I5" s="7">
        <v>1310000</v>
      </c>
      <c r="J5" s="7">
        <v>1468900</v>
      </c>
    </row>
    <row r="6" spans="1:11" x14ac:dyDescent="0.3">
      <c r="E6" s="5" t="s">
        <v>123</v>
      </c>
      <c r="F6" s="7">
        <v>693700</v>
      </c>
      <c r="G6" s="7">
        <v>845200</v>
      </c>
      <c r="H6" s="7">
        <v>1342600</v>
      </c>
      <c r="I6" s="7">
        <v>1340000</v>
      </c>
      <c r="J6" s="7">
        <v>1508900</v>
      </c>
    </row>
    <row r="7" spans="1:11" x14ac:dyDescent="0.3">
      <c r="E7" s="5" t="s">
        <v>124</v>
      </c>
      <c r="F7" s="7">
        <v>713800</v>
      </c>
      <c r="G7" s="7">
        <v>871500</v>
      </c>
      <c r="H7" s="7">
        <v>1465000</v>
      </c>
      <c r="I7" s="7">
        <v>1370000</v>
      </c>
      <c r="J7" s="7">
        <v>1548900</v>
      </c>
    </row>
    <row r="8" spans="1:11" x14ac:dyDescent="0.3">
      <c r="E8" s="5" t="s">
        <v>125</v>
      </c>
      <c r="F8" s="7">
        <v>733900</v>
      </c>
      <c r="G8" s="7">
        <v>897800</v>
      </c>
      <c r="H8" s="7">
        <v>2151100</v>
      </c>
      <c r="I8" s="7">
        <v>1400000</v>
      </c>
      <c r="J8" s="7">
        <v>1588900</v>
      </c>
    </row>
    <row r="10" spans="1:11" x14ac:dyDescent="0.3">
      <c r="A10" t="s">
        <v>126</v>
      </c>
    </row>
    <row r="11" spans="1:11" x14ac:dyDescent="0.3">
      <c r="A11" s="5" t="s">
        <v>50</v>
      </c>
      <c r="B11" s="5" t="s">
        <v>51</v>
      </c>
      <c r="C11" s="5" t="s">
        <v>52</v>
      </c>
      <c r="D11" s="1" t="s">
        <v>127</v>
      </c>
      <c r="E11" s="5" t="s">
        <v>128</v>
      </c>
      <c r="F11" s="5" t="s">
        <v>53</v>
      </c>
      <c r="G11" s="5" t="s">
        <v>54</v>
      </c>
      <c r="H11" s="5" t="s">
        <v>55</v>
      </c>
      <c r="I11" s="5" t="s">
        <v>56</v>
      </c>
      <c r="J11" s="1" t="s">
        <v>57</v>
      </c>
      <c r="K11" s="1" t="s">
        <v>129</v>
      </c>
    </row>
    <row r="12" spans="1:11" x14ac:dyDescent="0.3">
      <c r="A12" s="5" t="s">
        <v>98</v>
      </c>
      <c r="B12" s="5" t="s">
        <v>59</v>
      </c>
      <c r="C12" s="5" t="s">
        <v>88</v>
      </c>
      <c r="D12" s="5" t="str">
        <f>_xlfn.CONCAT(_xlfn.XMATCH(C12,$F$2:$J$2,0),"급")</f>
        <v>4급</v>
      </c>
      <c r="E12" s="5" t="s">
        <v>130</v>
      </c>
      <c r="F12" s="7">
        <v>1340000</v>
      </c>
      <c r="G12" s="7">
        <f t="shared" ref="G12:G27" si="0">100000</f>
        <v>100000</v>
      </c>
      <c r="H12" s="7">
        <v>70000</v>
      </c>
      <c r="I12" s="7">
        <v>0</v>
      </c>
      <c r="J12" s="7" cm="1">
        <f t="array" ref="J12">fn급여총액(F12,SUM(G12:I12))</f>
        <v>1510000</v>
      </c>
      <c r="K12" s="8">
        <f>ROUND(FV(4.2%/12,2*12,-J12*50%),-3)</f>
        <v>18868000</v>
      </c>
    </row>
    <row r="13" spans="1:11" x14ac:dyDescent="0.3">
      <c r="A13" s="5" t="s">
        <v>87</v>
      </c>
      <c r="B13" s="5" t="s">
        <v>82</v>
      </c>
      <c r="C13" s="5" t="s">
        <v>60</v>
      </c>
      <c r="D13" s="5" t="str">
        <f t="shared" ref="D13:D27" si="1">_xlfn.CONCAT(_xlfn.XMATCH(C13,$F$2:$J$2,0),"급")</f>
        <v>3급</v>
      </c>
      <c r="E13" s="5" t="s">
        <v>131</v>
      </c>
      <c r="F13" s="7">
        <v>1020000</v>
      </c>
      <c r="G13" s="7">
        <f t="shared" si="0"/>
        <v>100000</v>
      </c>
      <c r="H13" s="7">
        <v>50000</v>
      </c>
      <c r="I13" s="7">
        <v>0</v>
      </c>
      <c r="J13" s="7" cm="1">
        <f t="array" ref="J13">fn급여총액(F13,SUM(G13:I13))</f>
        <v>1170000</v>
      </c>
      <c r="K13" s="8">
        <f t="shared" ref="K13:K27" si="2">ROUND(FV(4.2%/12,2*12,-J13*50%),-3)</f>
        <v>14620000</v>
      </c>
    </row>
    <row r="14" spans="1:11" x14ac:dyDescent="0.3">
      <c r="A14" s="5" t="s">
        <v>97</v>
      </c>
      <c r="B14" s="5" t="s">
        <v>59</v>
      </c>
      <c r="C14" s="5" t="s">
        <v>79</v>
      </c>
      <c r="D14" s="5" t="str">
        <f t="shared" si="1"/>
        <v>1급</v>
      </c>
      <c r="E14" s="5" t="s">
        <v>132</v>
      </c>
      <c r="F14" s="7">
        <v>653500</v>
      </c>
      <c r="G14" s="7">
        <f t="shared" si="0"/>
        <v>100000</v>
      </c>
      <c r="H14" s="7">
        <v>30000</v>
      </c>
      <c r="I14" s="7">
        <v>0</v>
      </c>
      <c r="J14" s="7" cm="1">
        <f t="array" ref="J14">fn급여총액(F14,SUM(G14:I14))</f>
        <v>783500</v>
      </c>
      <c r="K14" s="8">
        <f t="shared" si="2"/>
        <v>9790000</v>
      </c>
    </row>
    <row r="15" spans="1:11" x14ac:dyDescent="0.3">
      <c r="A15" s="5" t="s">
        <v>93</v>
      </c>
      <c r="B15" s="5" t="s">
        <v>65</v>
      </c>
      <c r="C15" s="5" t="s">
        <v>62</v>
      </c>
      <c r="D15" s="5" t="str">
        <f t="shared" si="1"/>
        <v>2급</v>
      </c>
      <c r="E15" s="5" t="s">
        <v>133</v>
      </c>
      <c r="F15" s="7">
        <v>897800</v>
      </c>
      <c r="G15" s="7">
        <f t="shared" si="0"/>
        <v>100000</v>
      </c>
      <c r="H15" s="7">
        <v>50000</v>
      </c>
      <c r="I15" s="7">
        <v>0</v>
      </c>
      <c r="J15" s="7" cm="1">
        <f t="array" ref="J15">fn급여총액(F15,SUM(G15:I15))</f>
        <v>1047800</v>
      </c>
      <c r="K15" s="8">
        <f t="shared" si="2"/>
        <v>13093000</v>
      </c>
    </row>
    <row r="16" spans="1:11" x14ac:dyDescent="0.3">
      <c r="A16" s="5" t="s">
        <v>67</v>
      </c>
      <c r="B16" s="5" t="s">
        <v>65</v>
      </c>
      <c r="C16" s="5" t="s">
        <v>60</v>
      </c>
      <c r="D16" s="5" t="str">
        <f t="shared" si="1"/>
        <v>3급</v>
      </c>
      <c r="E16" s="5" t="s">
        <v>132</v>
      </c>
      <c r="F16" s="7">
        <v>798900</v>
      </c>
      <c r="G16" s="7">
        <f t="shared" si="0"/>
        <v>100000</v>
      </c>
      <c r="H16" s="7">
        <v>70000</v>
      </c>
      <c r="I16" s="7">
        <v>0</v>
      </c>
      <c r="J16" s="7" cm="1">
        <f t="array" ref="J16">fn급여총액(F16,SUM(G16:I16))</f>
        <v>968900</v>
      </c>
      <c r="K16" s="8">
        <f t="shared" si="2"/>
        <v>12107000</v>
      </c>
    </row>
    <row r="17" spans="1:11" x14ac:dyDescent="0.3">
      <c r="A17" s="5" t="s">
        <v>110</v>
      </c>
      <c r="B17" s="5" t="s">
        <v>82</v>
      </c>
      <c r="C17" s="5" t="s">
        <v>62</v>
      </c>
      <c r="D17" s="5" t="str">
        <f t="shared" si="1"/>
        <v>2급</v>
      </c>
      <c r="E17" s="5" t="s">
        <v>130</v>
      </c>
      <c r="F17" s="7">
        <v>845200</v>
      </c>
      <c r="G17" s="7">
        <f t="shared" si="0"/>
        <v>100000</v>
      </c>
      <c r="H17" s="7">
        <v>30000</v>
      </c>
      <c r="I17" s="7">
        <v>0</v>
      </c>
      <c r="J17" s="7" cm="1">
        <f t="array" ref="J17">fn급여총액(F17,SUM(G17:I17))</f>
        <v>975200</v>
      </c>
      <c r="K17" s="8">
        <f t="shared" si="2"/>
        <v>12186000</v>
      </c>
    </row>
    <row r="18" spans="1:11" x14ac:dyDescent="0.3">
      <c r="A18" s="5" t="s">
        <v>72</v>
      </c>
      <c r="B18" s="5" t="s">
        <v>59</v>
      </c>
      <c r="C18" s="5" t="s">
        <v>79</v>
      </c>
      <c r="D18" s="5" t="str">
        <f t="shared" si="1"/>
        <v>1급</v>
      </c>
      <c r="E18" s="5" t="s">
        <v>134</v>
      </c>
      <c r="F18" s="7">
        <v>633400</v>
      </c>
      <c r="G18" s="7">
        <f t="shared" si="0"/>
        <v>100000</v>
      </c>
      <c r="H18" s="7">
        <v>30000</v>
      </c>
      <c r="I18" s="7">
        <v>0</v>
      </c>
      <c r="J18" s="7" cm="1">
        <f t="array" ref="J18">fn급여총액(F18,SUM(G18:I18))</f>
        <v>763400</v>
      </c>
      <c r="K18" s="8">
        <f t="shared" si="2"/>
        <v>9539000</v>
      </c>
    </row>
    <row r="19" spans="1:11" x14ac:dyDescent="0.3">
      <c r="A19" s="5" t="s">
        <v>100</v>
      </c>
      <c r="B19" s="5" t="s">
        <v>59</v>
      </c>
      <c r="C19" s="5" t="s">
        <v>71</v>
      </c>
      <c r="D19" s="5" t="str">
        <f t="shared" si="1"/>
        <v>5급</v>
      </c>
      <c r="E19" s="5" t="s">
        <v>133</v>
      </c>
      <c r="F19" s="7">
        <v>1588900</v>
      </c>
      <c r="G19" s="7">
        <f t="shared" si="0"/>
        <v>100000</v>
      </c>
      <c r="H19" s="7">
        <v>10000</v>
      </c>
      <c r="I19" s="7">
        <v>40000</v>
      </c>
      <c r="J19" s="7" cm="1">
        <f t="array" ref="J19">fn급여총액(F19,SUM(G19:I19))</f>
        <v>1738900</v>
      </c>
      <c r="K19" s="8">
        <f t="shared" si="2"/>
        <v>21729000</v>
      </c>
    </row>
    <row r="20" spans="1:11" x14ac:dyDescent="0.3">
      <c r="A20" s="5" t="s">
        <v>112</v>
      </c>
      <c r="B20" s="5" t="s">
        <v>82</v>
      </c>
      <c r="C20" s="5" t="s">
        <v>88</v>
      </c>
      <c r="D20" s="5" t="str">
        <f t="shared" si="1"/>
        <v>4급</v>
      </c>
      <c r="E20" s="5" t="s">
        <v>135</v>
      </c>
      <c r="F20" s="7">
        <v>1370000</v>
      </c>
      <c r="G20" s="7">
        <f t="shared" si="0"/>
        <v>100000</v>
      </c>
      <c r="H20" s="7">
        <v>70000</v>
      </c>
      <c r="I20" s="7">
        <v>0</v>
      </c>
      <c r="J20" s="7" cm="1">
        <f t="array" ref="J20">fn급여총액(F20,SUM(G20:I20))</f>
        <v>1540000</v>
      </c>
      <c r="K20" s="8">
        <f t="shared" si="2"/>
        <v>19243000</v>
      </c>
    </row>
    <row r="21" spans="1:11" x14ac:dyDescent="0.3">
      <c r="A21" s="5" t="s">
        <v>96</v>
      </c>
      <c r="B21" s="5" t="s">
        <v>59</v>
      </c>
      <c r="C21" s="5" t="s">
        <v>79</v>
      </c>
      <c r="D21" s="5" t="str">
        <f t="shared" si="1"/>
        <v>1급</v>
      </c>
      <c r="E21" s="5" t="s">
        <v>132</v>
      </c>
      <c r="F21" s="7">
        <v>653500</v>
      </c>
      <c r="G21" s="7">
        <f t="shared" si="0"/>
        <v>100000</v>
      </c>
      <c r="H21" s="7">
        <v>50000</v>
      </c>
      <c r="I21" s="7">
        <v>0</v>
      </c>
      <c r="J21" s="7" cm="1">
        <f t="array" ref="J21">fn급여총액(F21,SUM(G21:I21))</f>
        <v>803500</v>
      </c>
      <c r="K21" s="8">
        <f t="shared" si="2"/>
        <v>10040000</v>
      </c>
    </row>
    <row r="22" spans="1:11" x14ac:dyDescent="0.3">
      <c r="A22" s="5" t="s">
        <v>58</v>
      </c>
      <c r="B22" s="5" t="s">
        <v>59</v>
      </c>
      <c r="C22" s="5" t="s">
        <v>60</v>
      </c>
      <c r="D22" s="5" t="str">
        <f t="shared" si="1"/>
        <v>3급</v>
      </c>
      <c r="E22" s="5" t="s">
        <v>131</v>
      </c>
      <c r="F22" s="7">
        <v>1020000</v>
      </c>
      <c r="G22" s="7">
        <f t="shared" si="0"/>
        <v>100000</v>
      </c>
      <c r="H22" s="7">
        <v>70000</v>
      </c>
      <c r="I22" s="7">
        <v>0</v>
      </c>
      <c r="J22" s="7" cm="1">
        <f t="array" ref="J22">fn급여총액(F22,SUM(G22:I22))</f>
        <v>1190000</v>
      </c>
      <c r="K22" s="8">
        <f t="shared" si="2"/>
        <v>14870000</v>
      </c>
    </row>
    <row r="23" spans="1:11" x14ac:dyDescent="0.3">
      <c r="A23" s="5" t="s">
        <v>83</v>
      </c>
      <c r="B23" s="5" t="s">
        <v>82</v>
      </c>
      <c r="C23" s="5" t="s">
        <v>62</v>
      </c>
      <c r="D23" s="5" t="str">
        <f t="shared" si="1"/>
        <v>2급</v>
      </c>
      <c r="E23" s="5" t="s">
        <v>132</v>
      </c>
      <c r="F23" s="7">
        <v>792600</v>
      </c>
      <c r="G23" s="7">
        <f t="shared" si="0"/>
        <v>100000</v>
      </c>
      <c r="H23" s="7">
        <v>70000</v>
      </c>
      <c r="I23" s="7">
        <v>0</v>
      </c>
      <c r="J23" s="7" cm="1">
        <f t="array" ref="J23">fn급여총액(F23,SUM(G23:I23))</f>
        <v>962600</v>
      </c>
      <c r="K23" s="8">
        <f t="shared" si="2"/>
        <v>12028000</v>
      </c>
    </row>
    <row r="24" spans="1:11" x14ac:dyDescent="0.3">
      <c r="A24" s="5" t="s">
        <v>91</v>
      </c>
      <c r="B24" s="5" t="s">
        <v>65</v>
      </c>
      <c r="C24" s="5" t="s">
        <v>79</v>
      </c>
      <c r="D24" s="5" t="str">
        <f t="shared" si="1"/>
        <v>1급</v>
      </c>
      <c r="E24" s="5" t="s">
        <v>132</v>
      </c>
      <c r="F24" s="7">
        <v>653500</v>
      </c>
      <c r="G24" s="7">
        <f t="shared" si="0"/>
        <v>100000</v>
      </c>
      <c r="H24" s="7">
        <v>50000</v>
      </c>
      <c r="I24" s="7">
        <v>0</v>
      </c>
      <c r="J24" s="7" cm="1">
        <f t="array" ref="J24">fn급여총액(F24,SUM(G24:I24))</f>
        <v>803500</v>
      </c>
      <c r="K24" s="8">
        <f t="shared" si="2"/>
        <v>10040000</v>
      </c>
    </row>
    <row r="25" spans="1:11" x14ac:dyDescent="0.3">
      <c r="A25" s="5" t="s">
        <v>73</v>
      </c>
      <c r="B25" s="5" t="s">
        <v>59</v>
      </c>
      <c r="C25" s="5" t="s">
        <v>71</v>
      </c>
      <c r="D25" s="5" t="str">
        <f t="shared" si="1"/>
        <v>5급</v>
      </c>
      <c r="E25" s="5" t="s">
        <v>133</v>
      </c>
      <c r="F25" s="7">
        <v>1588900</v>
      </c>
      <c r="G25" s="7">
        <f t="shared" si="0"/>
        <v>100000</v>
      </c>
      <c r="H25" s="7">
        <v>10000</v>
      </c>
      <c r="I25" s="7">
        <v>300000</v>
      </c>
      <c r="J25" s="7" cm="1">
        <f t="array" ref="J25">fn급여총액(F25,SUM(G25:I25))</f>
        <v>1998900</v>
      </c>
      <c r="K25" s="8">
        <f t="shared" si="2"/>
        <v>24978000</v>
      </c>
    </row>
    <row r="26" spans="1:11" x14ac:dyDescent="0.3">
      <c r="A26" s="5" t="s">
        <v>84</v>
      </c>
      <c r="B26" s="5" t="s">
        <v>65</v>
      </c>
      <c r="C26" s="5" t="s">
        <v>62</v>
      </c>
      <c r="D26" s="5" t="str">
        <f t="shared" si="1"/>
        <v>2급</v>
      </c>
      <c r="E26" s="5" t="s">
        <v>131</v>
      </c>
      <c r="F26" s="7">
        <v>818900</v>
      </c>
      <c r="G26" s="7">
        <f t="shared" si="0"/>
        <v>100000</v>
      </c>
      <c r="H26" s="7">
        <v>30000</v>
      </c>
      <c r="I26" s="7">
        <v>0</v>
      </c>
      <c r="J26" s="7" cm="1">
        <f t="array" ref="J26">fn급여총액(F26,SUM(G26:I26))</f>
        <v>948900</v>
      </c>
      <c r="K26" s="8">
        <f t="shared" si="2"/>
        <v>11857000</v>
      </c>
    </row>
    <row r="27" spans="1:11" x14ac:dyDescent="0.3">
      <c r="A27" s="5" t="s">
        <v>74</v>
      </c>
      <c r="B27" s="5" t="s">
        <v>59</v>
      </c>
      <c r="C27" s="5" t="s">
        <v>79</v>
      </c>
      <c r="D27" s="5" t="str">
        <f t="shared" si="1"/>
        <v>1급</v>
      </c>
      <c r="E27" s="5" t="s">
        <v>134</v>
      </c>
      <c r="F27" s="7">
        <v>633400</v>
      </c>
      <c r="G27" s="7">
        <f t="shared" si="0"/>
        <v>100000</v>
      </c>
      <c r="H27" s="7">
        <v>50000</v>
      </c>
      <c r="I27" s="7">
        <v>0</v>
      </c>
      <c r="J27" s="7" cm="1">
        <f t="array" ref="J27">fn급여총액(F27,SUM(G27:I27))</f>
        <v>783400</v>
      </c>
      <c r="K27" s="8">
        <f t="shared" si="2"/>
        <v>9789000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315D-F20C-4A0B-B898-62644CC90A84}">
  <dimension ref="A1:L8"/>
  <sheetViews>
    <sheetView workbookViewId="0"/>
  </sheetViews>
  <sheetFormatPr defaultRowHeight="16.5" x14ac:dyDescent="0.3"/>
  <cols>
    <col min="1" max="1" width="7.75" customWidth="1"/>
    <col min="2" max="2" width="6.75" customWidth="1"/>
    <col min="3" max="3" width="10" customWidth="1"/>
    <col min="4" max="4" width="9.75" customWidth="1"/>
    <col min="5" max="5" width="6" customWidth="1"/>
    <col min="6" max="6" width="7.75" customWidth="1"/>
    <col min="7" max="7" width="8.125" customWidth="1"/>
    <col min="8" max="8" width="6" customWidth="1"/>
    <col min="9" max="9" width="7.5" customWidth="1"/>
    <col min="10" max="10" width="7.625" customWidth="1"/>
    <col min="11" max="12" width="6.25" customWidth="1"/>
  </cols>
  <sheetData>
    <row r="1" spans="1:12" x14ac:dyDescent="0.3">
      <c r="A1" t="s">
        <v>218</v>
      </c>
      <c r="B1" t="s">
        <v>1</v>
      </c>
      <c r="C1" t="s">
        <v>207</v>
      </c>
      <c r="D1" t="s">
        <v>219</v>
      </c>
      <c r="E1" t="s">
        <v>220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221</v>
      </c>
      <c r="L1" t="s">
        <v>222</v>
      </c>
    </row>
    <row r="2" spans="1:12" x14ac:dyDescent="0.3">
      <c r="A2" t="s">
        <v>223</v>
      </c>
      <c r="B2" t="s">
        <v>211</v>
      </c>
      <c r="C2" t="s">
        <v>204</v>
      </c>
      <c r="D2" t="s">
        <v>224</v>
      </c>
      <c r="E2" t="s">
        <v>225</v>
      </c>
      <c r="F2">
        <v>87</v>
      </c>
      <c r="G2">
        <v>78</v>
      </c>
      <c r="H2">
        <v>56</v>
      </c>
      <c r="I2">
        <v>83</v>
      </c>
      <c r="J2">
        <v>60</v>
      </c>
      <c r="K2">
        <v>72.8</v>
      </c>
      <c r="L2" t="s">
        <v>226</v>
      </c>
    </row>
    <row r="3" spans="1:12" x14ac:dyDescent="0.3">
      <c r="A3" t="s">
        <v>227</v>
      </c>
      <c r="B3" t="s">
        <v>212</v>
      </c>
      <c r="C3" t="s">
        <v>204</v>
      </c>
      <c r="D3" t="s">
        <v>228</v>
      </c>
      <c r="E3" t="s">
        <v>225</v>
      </c>
      <c r="F3">
        <v>52</v>
      </c>
      <c r="G3">
        <v>56</v>
      </c>
      <c r="H3">
        <v>77</v>
      </c>
      <c r="I3">
        <v>82</v>
      </c>
      <c r="J3">
        <v>92</v>
      </c>
      <c r="K3">
        <v>71.8</v>
      </c>
      <c r="L3" t="s">
        <v>226</v>
      </c>
    </row>
    <row r="4" spans="1:12" x14ac:dyDescent="0.3">
      <c r="A4" t="s">
        <v>229</v>
      </c>
      <c r="B4" t="s">
        <v>213</v>
      </c>
      <c r="C4" t="s">
        <v>204</v>
      </c>
      <c r="D4" t="s">
        <v>230</v>
      </c>
      <c r="E4" t="s">
        <v>225</v>
      </c>
      <c r="F4">
        <v>71</v>
      </c>
      <c r="G4">
        <v>97</v>
      </c>
      <c r="H4">
        <v>64</v>
      </c>
      <c r="I4">
        <v>96</v>
      </c>
      <c r="J4">
        <v>68</v>
      </c>
      <c r="K4">
        <v>79.2</v>
      </c>
      <c r="L4" t="s">
        <v>226</v>
      </c>
    </row>
    <row r="5" spans="1:12" x14ac:dyDescent="0.3">
      <c r="A5" t="s">
        <v>231</v>
      </c>
      <c r="B5" t="s">
        <v>142</v>
      </c>
      <c r="C5" t="s">
        <v>205</v>
      </c>
      <c r="D5" t="s">
        <v>232</v>
      </c>
      <c r="E5" t="s">
        <v>233</v>
      </c>
      <c r="F5">
        <v>88</v>
      </c>
      <c r="G5">
        <v>81</v>
      </c>
      <c r="H5">
        <v>77</v>
      </c>
      <c r="I5">
        <v>85</v>
      </c>
      <c r="J5">
        <v>63</v>
      </c>
      <c r="K5">
        <v>78.8</v>
      </c>
      <c r="L5" t="s">
        <v>226</v>
      </c>
    </row>
    <row r="6" spans="1:12" x14ac:dyDescent="0.3">
      <c r="A6" t="s">
        <v>234</v>
      </c>
      <c r="B6" t="s">
        <v>214</v>
      </c>
      <c r="C6" t="s">
        <v>205</v>
      </c>
      <c r="D6" t="s">
        <v>235</v>
      </c>
      <c r="E6" t="s">
        <v>233</v>
      </c>
      <c r="F6">
        <v>76</v>
      </c>
      <c r="G6">
        <v>80</v>
      </c>
      <c r="H6">
        <v>91</v>
      </c>
      <c r="I6">
        <v>51</v>
      </c>
      <c r="J6">
        <v>92</v>
      </c>
      <c r="K6">
        <v>78</v>
      </c>
      <c r="L6" t="s">
        <v>226</v>
      </c>
    </row>
    <row r="7" spans="1:12" x14ac:dyDescent="0.3">
      <c r="A7" t="s">
        <v>236</v>
      </c>
      <c r="B7" t="s">
        <v>215</v>
      </c>
      <c r="C7" t="s">
        <v>205</v>
      </c>
      <c r="D7" t="s">
        <v>237</v>
      </c>
      <c r="E7" t="s">
        <v>233</v>
      </c>
      <c r="F7">
        <v>64</v>
      </c>
      <c r="G7">
        <v>59</v>
      </c>
      <c r="H7">
        <v>97</v>
      </c>
      <c r="I7">
        <v>86</v>
      </c>
      <c r="J7">
        <v>53</v>
      </c>
      <c r="K7">
        <v>71.8</v>
      </c>
      <c r="L7" t="s">
        <v>226</v>
      </c>
    </row>
    <row r="8" spans="1:12" x14ac:dyDescent="0.3">
      <c r="A8" t="s">
        <v>238</v>
      </c>
      <c r="B8" t="s">
        <v>154</v>
      </c>
      <c r="C8" t="s">
        <v>205</v>
      </c>
      <c r="D8" t="s">
        <v>239</v>
      </c>
      <c r="E8" t="s">
        <v>233</v>
      </c>
      <c r="F8">
        <v>86</v>
      </c>
      <c r="G8">
        <v>66</v>
      </c>
      <c r="H8">
        <v>71</v>
      </c>
      <c r="I8">
        <v>94</v>
      </c>
      <c r="J8">
        <v>87</v>
      </c>
      <c r="K8">
        <v>80.8</v>
      </c>
      <c r="L8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3:D8"/>
  <sheetViews>
    <sheetView workbookViewId="0"/>
  </sheetViews>
  <sheetFormatPr defaultRowHeight="16.5" x14ac:dyDescent="0.3"/>
  <cols>
    <col min="1" max="1" width="13.375" bestFit="1" customWidth="1"/>
    <col min="2" max="2" width="11.25" bestFit="1" customWidth="1"/>
    <col min="3" max="3" width="13" bestFit="1" customWidth="1"/>
    <col min="4" max="4" width="13.125" bestFit="1" customWidth="1"/>
  </cols>
  <sheetData>
    <row r="3" spans="1:4" x14ac:dyDescent="0.3">
      <c r="A3" s="20" t="s">
        <v>1</v>
      </c>
      <c r="B3" t="s">
        <v>203</v>
      </c>
    </row>
    <row r="5" spans="1:4" x14ac:dyDescent="0.3">
      <c r="A5" s="20" t="s">
        <v>208</v>
      </c>
      <c r="B5" s="20" t="s">
        <v>207</v>
      </c>
      <c r="C5" t="s">
        <v>216</v>
      </c>
      <c r="D5" t="s">
        <v>217</v>
      </c>
    </row>
    <row r="6" spans="1:4" x14ac:dyDescent="0.3">
      <c r="A6" t="s">
        <v>209</v>
      </c>
      <c r="C6" s="22">
        <v>52</v>
      </c>
      <c r="D6" s="22">
        <v>56</v>
      </c>
    </row>
    <row r="7" spans="1:4" x14ac:dyDescent="0.3">
      <c r="A7" t="s">
        <v>210</v>
      </c>
      <c r="C7" s="22">
        <v>52</v>
      </c>
      <c r="D7" s="22">
        <v>64</v>
      </c>
    </row>
    <row r="8" spans="1:4" x14ac:dyDescent="0.3">
      <c r="A8" t="s">
        <v>206</v>
      </c>
      <c r="C8" s="22">
        <v>52</v>
      </c>
      <c r="D8" s="22">
        <v>56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G16"/>
  <sheetViews>
    <sheetView workbookViewId="0"/>
  </sheetViews>
  <sheetFormatPr defaultRowHeight="16.5" x14ac:dyDescent="0.3"/>
  <cols>
    <col min="2" max="2" width="11" bestFit="1" customWidth="1"/>
  </cols>
  <sheetData>
    <row r="1" spans="1:7" x14ac:dyDescent="0.3">
      <c r="A1" t="s">
        <v>155</v>
      </c>
    </row>
    <row r="2" spans="1:7" x14ac:dyDescent="0.3">
      <c r="A2" s="1" t="s">
        <v>1</v>
      </c>
      <c r="B2" s="1" t="s">
        <v>156</v>
      </c>
      <c r="C2" s="1" t="s">
        <v>136</v>
      </c>
      <c r="D2" s="1" t="s">
        <v>137</v>
      </c>
      <c r="E2" s="1" t="s">
        <v>138</v>
      </c>
      <c r="F2" s="1" t="s">
        <v>139</v>
      </c>
      <c r="G2" s="1" t="s">
        <v>140</v>
      </c>
    </row>
    <row r="3" spans="1:7" x14ac:dyDescent="0.3">
      <c r="A3" t="s">
        <v>141</v>
      </c>
      <c r="B3" t="s">
        <v>157</v>
      </c>
      <c r="C3">
        <v>77</v>
      </c>
      <c r="D3">
        <v>76</v>
      </c>
      <c r="E3">
        <v>87</v>
      </c>
      <c r="F3">
        <v>50</v>
      </c>
      <c r="G3">
        <v>51</v>
      </c>
    </row>
    <row r="4" spans="1:7" x14ac:dyDescent="0.3">
      <c r="A4" t="s">
        <v>142</v>
      </c>
      <c r="B4" t="s">
        <v>158</v>
      </c>
      <c r="C4">
        <v>98</v>
      </c>
      <c r="D4">
        <v>81</v>
      </c>
      <c r="E4">
        <v>77</v>
      </c>
      <c r="F4">
        <v>85</v>
      </c>
      <c r="G4">
        <v>63</v>
      </c>
    </row>
    <row r="5" spans="1:7" x14ac:dyDescent="0.3">
      <c r="A5" t="s">
        <v>143</v>
      </c>
      <c r="B5" t="s">
        <v>159</v>
      </c>
      <c r="C5">
        <v>87</v>
      </c>
      <c r="D5">
        <v>84</v>
      </c>
      <c r="E5">
        <v>61</v>
      </c>
      <c r="F5">
        <v>93</v>
      </c>
      <c r="G5">
        <v>63</v>
      </c>
    </row>
    <row r="6" spans="1:7" x14ac:dyDescent="0.3">
      <c r="A6" t="s">
        <v>144</v>
      </c>
      <c r="B6" t="s">
        <v>157</v>
      </c>
      <c r="C6">
        <v>72</v>
      </c>
      <c r="D6">
        <v>96</v>
      </c>
      <c r="E6">
        <v>67</v>
      </c>
      <c r="F6">
        <v>59</v>
      </c>
      <c r="G6">
        <v>77</v>
      </c>
    </row>
    <row r="7" spans="1:7" x14ac:dyDescent="0.3">
      <c r="A7" t="s">
        <v>145</v>
      </c>
      <c r="B7" t="s">
        <v>159</v>
      </c>
      <c r="C7">
        <v>50</v>
      </c>
      <c r="D7">
        <v>84</v>
      </c>
      <c r="E7">
        <v>60</v>
      </c>
      <c r="F7">
        <v>77</v>
      </c>
      <c r="G7">
        <v>79</v>
      </c>
    </row>
    <row r="8" spans="1:7" x14ac:dyDescent="0.3">
      <c r="A8" t="s">
        <v>146</v>
      </c>
      <c r="B8" t="s">
        <v>160</v>
      </c>
      <c r="C8">
        <v>94</v>
      </c>
      <c r="D8">
        <v>99</v>
      </c>
      <c r="E8">
        <v>96</v>
      </c>
      <c r="F8">
        <v>71</v>
      </c>
      <c r="G8">
        <v>95</v>
      </c>
    </row>
    <row r="9" spans="1:7" x14ac:dyDescent="0.3">
      <c r="A9" t="s">
        <v>147</v>
      </c>
      <c r="B9" t="s">
        <v>157</v>
      </c>
      <c r="C9">
        <v>77</v>
      </c>
      <c r="D9">
        <v>77</v>
      </c>
      <c r="E9">
        <v>50</v>
      </c>
      <c r="F9">
        <v>55</v>
      </c>
      <c r="G9">
        <v>92</v>
      </c>
    </row>
    <row r="10" spans="1:7" x14ac:dyDescent="0.3">
      <c r="A10" t="s">
        <v>148</v>
      </c>
      <c r="B10" t="s">
        <v>159</v>
      </c>
      <c r="C10">
        <v>79</v>
      </c>
      <c r="D10">
        <v>94</v>
      </c>
      <c r="E10">
        <v>76</v>
      </c>
      <c r="F10">
        <v>72</v>
      </c>
      <c r="G10">
        <v>96</v>
      </c>
    </row>
    <row r="11" spans="1:7" x14ac:dyDescent="0.3">
      <c r="A11" t="s">
        <v>149</v>
      </c>
      <c r="B11" t="s">
        <v>160</v>
      </c>
      <c r="C11">
        <v>65</v>
      </c>
      <c r="D11">
        <v>73</v>
      </c>
      <c r="E11">
        <v>67</v>
      </c>
      <c r="F11">
        <v>95</v>
      </c>
      <c r="G11">
        <v>82</v>
      </c>
    </row>
    <row r="12" spans="1:7" x14ac:dyDescent="0.3">
      <c r="A12" t="s">
        <v>150</v>
      </c>
      <c r="B12" t="s">
        <v>159</v>
      </c>
      <c r="C12">
        <v>74</v>
      </c>
      <c r="D12">
        <v>92</v>
      </c>
      <c r="E12">
        <v>88</v>
      </c>
      <c r="F12">
        <v>52</v>
      </c>
      <c r="G12">
        <v>73</v>
      </c>
    </row>
    <row r="13" spans="1:7" x14ac:dyDescent="0.3">
      <c r="A13" t="s">
        <v>151</v>
      </c>
      <c r="B13" t="s">
        <v>157</v>
      </c>
      <c r="C13">
        <v>52</v>
      </c>
      <c r="D13">
        <v>78</v>
      </c>
      <c r="E13">
        <v>55</v>
      </c>
      <c r="F13">
        <v>64</v>
      </c>
      <c r="G13">
        <v>60</v>
      </c>
    </row>
    <row r="14" spans="1:7" x14ac:dyDescent="0.3">
      <c r="A14" t="s">
        <v>152</v>
      </c>
      <c r="B14" t="s">
        <v>160</v>
      </c>
      <c r="C14">
        <v>76</v>
      </c>
      <c r="D14">
        <v>65</v>
      </c>
      <c r="E14">
        <v>87</v>
      </c>
      <c r="F14">
        <v>96</v>
      </c>
      <c r="G14">
        <v>88</v>
      </c>
    </row>
    <row r="15" spans="1:7" x14ac:dyDescent="0.3">
      <c r="A15" t="s">
        <v>153</v>
      </c>
      <c r="B15" t="s">
        <v>157</v>
      </c>
      <c r="C15">
        <v>61</v>
      </c>
      <c r="D15">
        <v>98</v>
      </c>
      <c r="E15">
        <v>72</v>
      </c>
      <c r="F15">
        <v>89</v>
      </c>
      <c r="G15">
        <v>68</v>
      </c>
    </row>
    <row r="16" spans="1:7" x14ac:dyDescent="0.3">
      <c r="A16" t="s">
        <v>154</v>
      </c>
      <c r="B16" t="s">
        <v>158</v>
      </c>
      <c r="C16">
        <v>86</v>
      </c>
      <c r="D16">
        <v>66</v>
      </c>
      <c r="E16">
        <v>71</v>
      </c>
      <c r="F16">
        <v>94</v>
      </c>
      <c r="G16">
        <v>87</v>
      </c>
    </row>
  </sheetData>
  <phoneticPr fontId="1" type="noConversion"/>
  <conditionalFormatting sqref="G3:G16">
    <cfRule type="aboveAverage" dxfId="0" priority="1"/>
  </conditionalFormatting>
  <dataValidations count="1">
    <dataValidation type="list" errorStyle="information" allowBlank="1" showInputMessage="1" showErrorMessage="1" errorTitle="오류" error="학과를 잘못 입력하셨습니다." promptTitle="학과입력" prompt="목록에서 선택하세요!" sqref="B3:B16" xr:uid="{F6A40463-1FFE-4068-A811-5BE5E255935F}">
      <formula1>"영문과,기계설계과,회계과,법학과"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36C6-9D6D-462F-8E46-30C42357AC95}">
  <sheetPr codeName="Sheet9"/>
  <dimension ref="A1:E9"/>
  <sheetViews>
    <sheetView workbookViewId="0"/>
  </sheetViews>
  <sheetFormatPr defaultRowHeight="16.5" x14ac:dyDescent="0.3"/>
  <cols>
    <col min="1" max="1" width="11" bestFit="1" customWidth="1"/>
    <col min="4" max="4" width="10.875" bestFit="1" customWidth="1"/>
    <col min="5" max="5" width="13.25" customWidth="1"/>
    <col min="6" max="6" width="10" customWidth="1"/>
  </cols>
  <sheetData>
    <row r="1" spans="1:5" x14ac:dyDescent="0.3">
      <c r="B1" s="23" t="s">
        <v>161</v>
      </c>
      <c r="C1" s="23"/>
      <c r="D1" s="23"/>
      <c r="E1" s="23"/>
    </row>
    <row r="2" spans="1:5" x14ac:dyDescent="0.3">
      <c r="A2" s="5" t="s">
        <v>162</v>
      </c>
      <c r="B2" s="5" t="s">
        <v>163</v>
      </c>
      <c r="C2" s="5" t="s">
        <v>164</v>
      </c>
      <c r="D2" s="5" t="s">
        <v>165</v>
      </c>
      <c r="E2" s="5" t="s">
        <v>166</v>
      </c>
    </row>
    <row r="3" spans="1:5" x14ac:dyDescent="0.3">
      <c r="A3" s="6" t="s">
        <v>167</v>
      </c>
      <c r="B3" s="6" t="s">
        <v>168</v>
      </c>
      <c r="C3" s="9">
        <v>20</v>
      </c>
      <c r="D3" s="10">
        <v>240000</v>
      </c>
      <c r="E3" s="10">
        <v>83720</v>
      </c>
    </row>
    <row r="4" spans="1:5" x14ac:dyDescent="0.3">
      <c r="A4" s="6" t="s">
        <v>169</v>
      </c>
      <c r="B4" s="6" t="s">
        <v>170</v>
      </c>
      <c r="C4" s="9">
        <v>7</v>
      </c>
      <c r="D4" s="10">
        <v>84000</v>
      </c>
      <c r="E4" s="10">
        <v>312000</v>
      </c>
    </row>
    <row r="5" spans="1:5" x14ac:dyDescent="0.3">
      <c r="A5" s="6" t="s">
        <v>171</v>
      </c>
      <c r="B5" s="6" t="s">
        <v>172</v>
      </c>
      <c r="C5" s="9">
        <v>7</v>
      </c>
      <c r="D5" s="10">
        <v>80500</v>
      </c>
      <c r="E5" s="10">
        <v>156000</v>
      </c>
    </row>
    <row r="6" spans="1:5" x14ac:dyDescent="0.3">
      <c r="A6" s="6" t="s">
        <v>167</v>
      </c>
      <c r="B6" s="6" t="s">
        <v>173</v>
      </c>
      <c r="C6" s="9">
        <v>12</v>
      </c>
      <c r="D6" s="10">
        <v>300000</v>
      </c>
      <c r="E6" s="10">
        <v>45000</v>
      </c>
    </row>
    <row r="7" spans="1:5" x14ac:dyDescent="0.3">
      <c r="A7" s="6" t="s">
        <v>171</v>
      </c>
      <c r="B7" s="6" t="s">
        <v>174</v>
      </c>
      <c r="C7" s="9">
        <v>12</v>
      </c>
      <c r="D7" s="10">
        <v>150000</v>
      </c>
      <c r="E7" s="10">
        <v>12000</v>
      </c>
    </row>
    <row r="8" spans="1:5" x14ac:dyDescent="0.3">
      <c r="A8" s="6" t="s">
        <v>169</v>
      </c>
      <c r="B8" s="6" t="s">
        <v>175</v>
      </c>
      <c r="C8" s="9">
        <v>7</v>
      </c>
      <c r="D8" s="10">
        <v>80500</v>
      </c>
      <c r="E8" s="10">
        <v>130000</v>
      </c>
    </row>
    <row r="9" spans="1:5" x14ac:dyDescent="0.3">
      <c r="A9" s="6" t="s">
        <v>171</v>
      </c>
      <c r="B9" s="6" t="s">
        <v>176</v>
      </c>
      <c r="C9" s="9">
        <v>15</v>
      </c>
      <c r="D9" s="10">
        <v>278250</v>
      </c>
      <c r="E9" s="10">
        <v>702000</v>
      </c>
    </row>
  </sheetData>
  <mergeCells count="1">
    <mergeCell ref="B1:E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2:E13"/>
  <sheetViews>
    <sheetView workbookViewId="0"/>
  </sheetViews>
  <sheetFormatPr defaultRowHeight="16.5" x14ac:dyDescent="0.3"/>
  <cols>
    <col min="3" max="3" width="11.875" customWidth="1"/>
    <col min="4" max="4" width="12.875" customWidth="1"/>
    <col min="5" max="5" width="9.375" bestFit="1" customWidth="1"/>
    <col min="6" max="6" width="2.625" customWidth="1"/>
  </cols>
  <sheetData>
    <row r="2" spans="1:5" x14ac:dyDescent="0.3">
      <c r="A2" t="s">
        <v>155</v>
      </c>
      <c r="B2" s="11" t="s">
        <v>177</v>
      </c>
      <c r="C2" s="12"/>
      <c r="D2" s="12"/>
      <c r="E2" s="13"/>
    </row>
    <row r="3" spans="1:5" x14ac:dyDescent="0.3">
      <c r="A3" s="14" t="s">
        <v>178</v>
      </c>
      <c r="B3" s="14" t="s">
        <v>179</v>
      </c>
      <c r="C3" s="14" t="s">
        <v>180</v>
      </c>
      <c r="D3" s="14" t="s">
        <v>181</v>
      </c>
      <c r="E3" s="15" t="s">
        <v>182</v>
      </c>
    </row>
    <row r="4" spans="1:5" x14ac:dyDescent="0.3">
      <c r="A4" s="14" t="s">
        <v>183</v>
      </c>
      <c r="B4" s="14">
        <v>84</v>
      </c>
      <c r="C4" s="14">
        <v>88</v>
      </c>
      <c r="D4" s="14">
        <v>76</v>
      </c>
      <c r="E4" s="21">
        <f t="shared" ref="E4:E13" si="0">AVERAGE(B4:D4)</f>
        <v>82.666666666666671</v>
      </c>
    </row>
    <row r="5" spans="1:5" x14ac:dyDescent="0.3">
      <c r="A5" s="14" t="s">
        <v>184</v>
      </c>
      <c r="B5" s="14">
        <v>90</v>
      </c>
      <c r="C5" s="14">
        <v>91</v>
      </c>
      <c r="D5" s="14">
        <v>93</v>
      </c>
      <c r="E5" s="21">
        <f t="shared" si="0"/>
        <v>91.333333333333329</v>
      </c>
    </row>
    <row r="6" spans="1:5" x14ac:dyDescent="0.3">
      <c r="A6" s="14" t="s">
        <v>185</v>
      </c>
      <c r="B6" s="14">
        <v>55</v>
      </c>
      <c r="C6" s="14">
        <v>65</v>
      </c>
      <c r="D6" s="14">
        <v>50</v>
      </c>
      <c r="E6" s="21">
        <f t="shared" si="0"/>
        <v>56.666666666666664</v>
      </c>
    </row>
    <row r="7" spans="1:5" x14ac:dyDescent="0.3">
      <c r="A7" s="14" t="s">
        <v>186</v>
      </c>
      <c r="B7" s="14">
        <v>88</v>
      </c>
      <c r="C7" s="14">
        <v>80</v>
      </c>
      <c r="D7" s="14">
        <v>81</v>
      </c>
      <c r="E7" s="21">
        <f t="shared" si="0"/>
        <v>83</v>
      </c>
    </row>
    <row r="8" spans="1:5" x14ac:dyDescent="0.3">
      <c r="A8" s="14" t="s">
        <v>187</v>
      </c>
      <c r="B8" s="14">
        <v>64</v>
      </c>
      <c r="C8" s="14">
        <v>61</v>
      </c>
      <c r="D8" s="14">
        <v>50</v>
      </c>
      <c r="E8" s="21">
        <f t="shared" si="0"/>
        <v>58.333333333333336</v>
      </c>
    </row>
    <row r="9" spans="1:5" x14ac:dyDescent="0.3">
      <c r="A9" s="14" t="s">
        <v>188</v>
      </c>
      <c r="B9" s="14">
        <v>33</v>
      </c>
      <c r="C9" s="14">
        <v>50</v>
      </c>
      <c r="D9" s="14">
        <v>62</v>
      </c>
      <c r="E9" s="21">
        <f t="shared" si="0"/>
        <v>48.333333333333336</v>
      </c>
    </row>
    <row r="10" spans="1:5" x14ac:dyDescent="0.3">
      <c r="A10" s="14" t="s">
        <v>189</v>
      </c>
      <c r="B10" s="14">
        <v>68</v>
      </c>
      <c r="C10" s="14">
        <v>52</v>
      </c>
      <c r="D10" s="14">
        <v>64</v>
      </c>
      <c r="E10" s="21">
        <f t="shared" si="0"/>
        <v>61.333333333333336</v>
      </c>
    </row>
    <row r="11" spans="1:5" x14ac:dyDescent="0.3">
      <c r="A11" s="14" t="s">
        <v>190</v>
      </c>
      <c r="B11" s="14">
        <v>57</v>
      </c>
      <c r="C11" s="14">
        <v>38</v>
      </c>
      <c r="D11" s="14">
        <v>61</v>
      </c>
      <c r="E11" s="21">
        <f t="shared" si="0"/>
        <v>52</v>
      </c>
    </row>
    <row r="12" spans="1:5" x14ac:dyDescent="0.3">
      <c r="A12" s="14" t="s">
        <v>191</v>
      </c>
      <c r="B12" s="14">
        <v>68</v>
      </c>
      <c r="C12" s="14">
        <v>57</v>
      </c>
      <c r="D12" s="14">
        <v>59</v>
      </c>
      <c r="E12" s="21">
        <f t="shared" si="0"/>
        <v>61.333333333333336</v>
      </c>
    </row>
    <row r="13" spans="1:5" x14ac:dyDescent="0.3">
      <c r="A13" s="14" t="s">
        <v>192</v>
      </c>
      <c r="B13" s="14">
        <v>72</v>
      </c>
      <c r="C13" s="14">
        <v>71</v>
      </c>
      <c r="D13" s="14">
        <v>76</v>
      </c>
      <c r="E13" s="21">
        <f t="shared" si="0"/>
        <v>73</v>
      </c>
    </row>
  </sheetData>
  <phoneticPr fontId="1" type="noConversion"/>
  <conditionalFormatting sqref="E4:E13">
    <cfRule type="dataBar" priority="1">
      <dataBar>
        <cfvo type="percent" val="10"/>
        <cfvo type="percent" val="90"/>
        <color rgb="FFFFC000"/>
      </dataBar>
      <extLst>
        <ext xmlns:x14="http://schemas.microsoft.com/office/spreadsheetml/2009/9/main" uri="{B025F937-C7B1-47D3-B67F-A62EFF666E3E}">
          <x14:id>{EDE8C240-4E2D-4B58-AA71-3356FE0C54BD}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합격여부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그래프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DE8C240-4E2D-4B58-AA71-3356FE0C54BD}">
            <x14:dataBar minLength="0" maxLength="100">
              <x14:cfvo type="percent">
                <xm:f>10</xm:f>
              </x14:cfvo>
              <x14:cfvo type="percent">
                <xm:f>90</xm:f>
              </x14:cfvo>
              <x14:negativeFillColor rgb="FFFF0000"/>
              <x14:axisColor rgb="FF000000"/>
            </x14:dataBar>
          </x14:cfRule>
          <xm:sqref>E4:E13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D5"/>
  <sheetViews>
    <sheetView workbookViewId="0"/>
  </sheetViews>
  <sheetFormatPr defaultRowHeight="16.5" x14ac:dyDescent="0.3"/>
  <cols>
    <col min="1" max="1" width="14.25" customWidth="1"/>
  </cols>
  <sheetData>
    <row r="1" spans="1:4" ht="24" x14ac:dyDescent="0.3">
      <c r="A1" s="16" t="s">
        <v>193</v>
      </c>
    </row>
    <row r="3" spans="1:4" x14ac:dyDescent="0.3">
      <c r="A3" s="17" t="s">
        <v>194</v>
      </c>
      <c r="B3" s="17" t="s">
        <v>195</v>
      </c>
      <c r="C3" s="17" t="s">
        <v>196</v>
      </c>
      <c r="D3" s="17" t="s">
        <v>197</v>
      </c>
    </row>
    <row r="4" spans="1:4" x14ac:dyDescent="0.3">
      <c r="A4" s="18">
        <v>45081</v>
      </c>
      <c r="B4" t="s">
        <v>198</v>
      </c>
      <c r="C4" t="s">
        <v>199</v>
      </c>
      <c r="D4">
        <v>2000000</v>
      </c>
    </row>
    <row r="5" spans="1:4" x14ac:dyDescent="0.3">
      <c r="A5" s="18">
        <v>45081</v>
      </c>
      <c r="B5" t="s">
        <v>200</v>
      </c>
      <c r="C5" t="s">
        <v>55</v>
      </c>
      <c r="D5">
        <v>1500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가계부작성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133350</xdr:colOff>
                <xdr:row>2</xdr:row>
                <xdr:rowOff>114300</xdr:rowOff>
              </to>
            </anchor>
          </controlPr>
        </control>
      </mc:Choice>
      <mc:Fallback>
        <control shapeId="2049" r:id="rId3" name="cmd가계부작성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계산작업</vt:lpstr>
      <vt:lpstr>영문과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2023-10-05T08:07:26Z</cp:lastPrinted>
  <dcterms:created xsi:type="dcterms:W3CDTF">2023-05-12T01:27:33Z</dcterms:created>
  <dcterms:modified xsi:type="dcterms:W3CDTF">2023-10-18T01:31:12Z</dcterms:modified>
</cp:coreProperties>
</file>