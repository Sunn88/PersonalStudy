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063A6CDD-CA2A-46D4-9F20-C736667EC8FF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F4" i="8"/>
  <c r="F5" i="8"/>
  <c r="F6" i="8"/>
  <c r="F7" i="8"/>
  <c r="F8" i="8"/>
  <c r="F9" i="8"/>
  <c r="F10" i="8"/>
  <c r="F11" i="8"/>
  <c r="F12" i="8"/>
  <c r="F13" i="8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</calcChain>
</file>

<file path=xl/sharedStrings.xml><?xml version="1.0" encoding="utf-8"?>
<sst xmlns="http://schemas.openxmlformats.org/spreadsheetml/2006/main" count="296" uniqueCount="190">
  <si>
    <t>자산코드</t>
  </si>
  <si>
    <t>비품명</t>
  </si>
  <si>
    <t>내용연수</t>
  </si>
  <si>
    <t>경과연수</t>
  </si>
  <si>
    <t>취득원가</t>
  </si>
  <si>
    <t>구입수량</t>
  </si>
  <si>
    <t>자산명칭</t>
  </si>
  <si>
    <t>감가상각</t>
  </si>
  <si>
    <t>L2E3</t>
  </si>
  <si>
    <t>책장</t>
  </si>
  <si>
    <t>장기비품용-책장</t>
  </si>
  <si>
    <t>L2G5</t>
  </si>
  <si>
    <t>책상</t>
  </si>
  <si>
    <t>장기비품용-책상</t>
  </si>
  <si>
    <t>S5G6</t>
  </si>
  <si>
    <t>컴퓨터</t>
  </si>
  <si>
    <t>단기비품용-컴퓨터</t>
  </si>
  <si>
    <t>S3G4</t>
  </si>
  <si>
    <t>모니터</t>
  </si>
  <si>
    <t>단기비품용-모니터</t>
  </si>
  <si>
    <t>N9E7</t>
  </si>
  <si>
    <t>소모품용-컴퓨터</t>
  </si>
  <si>
    <t>L4C7</t>
  </si>
  <si>
    <t>디스크</t>
  </si>
  <si>
    <t>장기비품용-디스크</t>
  </si>
  <si>
    <t>N2E5</t>
  </si>
  <si>
    <t>소모품용-책상</t>
  </si>
  <si>
    <t>L1G1</t>
  </si>
  <si>
    <t>장기비품용-컴퓨터</t>
  </si>
  <si>
    <t>L5E6</t>
  </si>
  <si>
    <t>장기비품용-모니터</t>
  </si>
  <si>
    <t>N6C9</t>
  </si>
  <si>
    <t>S6E9</t>
  </si>
  <si>
    <t>N4C1</t>
  </si>
  <si>
    <t>소모품용-모니터</t>
  </si>
  <si>
    <t>L5G9</t>
  </si>
  <si>
    <t>L0G0</t>
  </si>
  <si>
    <t>S2C2</t>
  </si>
  <si>
    <t>단기비품용-디스크</t>
  </si>
  <si>
    <t>N7E1</t>
  </si>
  <si>
    <t>소모품용-디스크</t>
  </si>
  <si>
    <t>잔존가</t>
    <phoneticPr fontId="1" type="noConversion"/>
  </si>
  <si>
    <t>사원 관리 현황</t>
  </si>
  <si>
    <t>사원코드</t>
  </si>
  <si>
    <t>사원명</t>
  </si>
  <si>
    <t>성별</t>
  </si>
  <si>
    <t>나이</t>
  </si>
  <si>
    <t>부서명</t>
  </si>
  <si>
    <t>2-P-25</t>
  </si>
  <si>
    <t>이미희</t>
  </si>
  <si>
    <t>여</t>
  </si>
  <si>
    <t>1-M-33</t>
  </si>
  <si>
    <t>김종국</t>
  </si>
  <si>
    <t>남</t>
  </si>
  <si>
    <t>1-S-52</t>
  </si>
  <si>
    <t>이정렬</t>
  </si>
  <si>
    <t>2-S-59</t>
  </si>
  <si>
    <t>정미라</t>
  </si>
  <si>
    <t>2-M-35</t>
  </si>
  <si>
    <t>신세윤</t>
  </si>
  <si>
    <t>2-M-37</t>
  </si>
  <si>
    <t>정다운</t>
  </si>
  <si>
    <t>1-S-55</t>
  </si>
  <si>
    <t>이건식</t>
  </si>
  <si>
    <t>1-B-11</t>
  </si>
  <si>
    <t>김해중</t>
  </si>
  <si>
    <t>1-P-33</t>
  </si>
  <si>
    <t>유현진</t>
  </si>
  <si>
    <t>2-B-15</t>
  </si>
  <si>
    <t>신혜리</t>
  </si>
  <si>
    <t>&lt;부서코드표&gt;</t>
  </si>
  <si>
    <t>코드</t>
  </si>
  <si>
    <t>S</t>
  </si>
  <si>
    <t>P</t>
  </si>
  <si>
    <t>M</t>
  </si>
  <si>
    <t>B</t>
  </si>
  <si>
    <t>영업부</t>
  </si>
  <si>
    <t>기획부</t>
  </si>
  <si>
    <t>생산부</t>
  </si>
  <si>
    <t>경리부</t>
  </si>
  <si>
    <t>[표1]</t>
  </si>
  <si>
    <t>여(2)</t>
  </si>
  <si>
    <t>관리부</t>
  </si>
  <si>
    <t>총무부</t>
  </si>
  <si>
    <t>[표2]</t>
  </si>
  <si>
    <t>이름</t>
  </si>
  <si>
    <t>주민등록번호</t>
  </si>
  <si>
    <t>생년월일</t>
  </si>
  <si>
    <t>예금액</t>
  </si>
  <si>
    <t>결혼여부</t>
  </si>
  <si>
    <t>대출가능액</t>
  </si>
  <si>
    <t>지원액</t>
  </si>
  <si>
    <t>총대여액</t>
  </si>
  <si>
    <t>김기춘</t>
  </si>
  <si>
    <t>기혼</t>
  </si>
  <si>
    <t>박오환</t>
  </si>
  <si>
    <t>미혼</t>
  </si>
  <si>
    <t>남현우</t>
  </si>
  <si>
    <t>최수현</t>
  </si>
  <si>
    <t>김슬기</t>
  </si>
  <si>
    <t>서인국</t>
  </si>
  <si>
    <t>박영철</t>
  </si>
  <si>
    <t>김미영</t>
  </si>
  <si>
    <t>장성민</t>
  </si>
  <si>
    <t>이동국</t>
  </si>
  <si>
    <t>최소 예금자</t>
  </si>
  <si>
    <t>860120-2547512</t>
    <phoneticPr fontId="1" type="noConversion"/>
  </si>
  <si>
    <t>931120-2153632</t>
    <phoneticPr fontId="1" type="noConversion"/>
  </si>
  <si>
    <t>2/4분기 근무자료</t>
  </si>
  <si>
    <t>한해 근무자료</t>
  </si>
  <si>
    <t>성명</t>
  </si>
  <si>
    <t>결근일수</t>
  </si>
  <si>
    <t>근무일</t>
  </si>
  <si>
    <t>근무평점</t>
  </si>
  <si>
    <t>강동희</t>
  </si>
  <si>
    <t>성혁재</t>
  </si>
  <si>
    <t>박노식</t>
  </si>
  <si>
    <t>서영실</t>
  </si>
  <si>
    <t>심현아</t>
  </si>
  <si>
    <t>임정만</t>
  </si>
  <si>
    <t>최영희</t>
  </si>
  <si>
    <t>3/4분기 근무자료</t>
  </si>
  <si>
    <t>4/4분기 근무자료</t>
  </si>
  <si>
    <t>[표1]</t>
    <phoneticPr fontId="1" type="noConversion"/>
  </si>
  <si>
    <t>1/4분기 근무자료</t>
    <phoneticPr fontId="1" type="noConversion"/>
  </si>
  <si>
    <t>[표2]</t>
    <phoneticPr fontId="1" type="noConversion"/>
  </si>
  <si>
    <t>[표5]</t>
    <phoneticPr fontId="1" type="noConversion"/>
  </si>
  <si>
    <t>[표3]</t>
    <phoneticPr fontId="1" type="noConversion"/>
  </si>
  <si>
    <t>[표4]</t>
    <phoneticPr fontId="1" type="noConversion"/>
  </si>
  <si>
    <t>성적표</t>
  </si>
  <si>
    <t>학과</t>
  </si>
  <si>
    <t>영어</t>
  </si>
  <si>
    <t>수학</t>
  </si>
  <si>
    <t>평균</t>
  </si>
  <si>
    <t>김명훈</t>
  </si>
  <si>
    <t>기계과</t>
  </si>
  <si>
    <t>하현호</t>
  </si>
  <si>
    <t>경영과</t>
  </si>
  <si>
    <t>박희선</t>
  </si>
  <si>
    <t>건축과</t>
  </si>
  <si>
    <t>이성식</t>
  </si>
  <si>
    <t>김영희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</si>
  <si>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</si>
  <si>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</si>
  <si>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</si>
  <si>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</si>
  <si>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</si>
  <si>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</si>
  <si>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</si>
  <si>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</si>
  <si>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</si>
  <si>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</si>
  <si>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</si>
  <si>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</si>
  <si>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</si>
  <si>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</si>
  <si>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사원</t>
  </si>
  <si>
    <t>이충렬</t>
  </si>
  <si>
    <t>대리</t>
  </si>
  <si>
    <t>김재욱</t>
  </si>
  <si>
    <t>서정화</t>
  </si>
  <si>
    <t>차장</t>
  </si>
  <si>
    <t>송치윤</t>
  </si>
  <si>
    <t>송혜영</t>
  </si>
  <si>
    <t>김구완</t>
  </si>
  <si>
    <t>성명</t>
    <phoneticPr fontId="1" type="noConversion"/>
  </si>
  <si>
    <t>원서 접수 현황</t>
  </si>
  <si>
    <t>응시종목</t>
  </si>
  <si>
    <t>응시급수</t>
  </si>
  <si>
    <t>접수비</t>
  </si>
  <si>
    <t>김상공</t>
  </si>
  <si>
    <t>워드프로세서</t>
  </si>
  <si>
    <t>2급</t>
  </si>
  <si>
    <t>최워드</t>
  </si>
  <si>
    <t>1급</t>
  </si>
  <si>
    <t>컴퓨터활용능력</t>
  </si>
  <si>
    <t>이컴활</t>
  </si>
  <si>
    <t>오원서</t>
  </si>
  <si>
    <t>이름</t>
    <phoneticPr fontId="1" type="noConversion"/>
  </si>
  <si>
    <t>760120-1546210</t>
    <phoneticPr fontId="1" type="noConversion"/>
  </si>
  <si>
    <t>960723-1068524</t>
    <phoneticPr fontId="1" type="noConversion"/>
  </si>
  <si>
    <t>990418-2651472</t>
    <phoneticPr fontId="1" type="noConversion"/>
  </si>
  <si>
    <t>010915-3231426</t>
    <phoneticPr fontId="1" type="noConversion"/>
  </si>
  <si>
    <t>901230-1125341</t>
    <phoneticPr fontId="1" type="noConversion"/>
  </si>
  <si>
    <t>890519-1785423</t>
    <phoneticPr fontId="1" type="noConversion"/>
  </si>
  <si>
    <t>020706-4685422</t>
    <phoneticPr fontId="1" type="noConversion"/>
  </si>
  <si>
    <t>001125-3265845</t>
    <phoneticPr fontId="1" type="noConversion"/>
  </si>
  <si>
    <t>남(1)</t>
    <phoneticPr fontId="1" type="noConversion"/>
  </si>
  <si>
    <t>남(3)</t>
    <phoneticPr fontId="1" type="noConversion"/>
  </si>
  <si>
    <t>여(4)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</si>
</sst>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" fillId="3" borderId="1" xfId="0" applyFont="1" applyFill="1" applyBorder="1" applyAlignment="1">
      <alignment horizontal="center"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82</c:v>
                </c:pt>
                <c:pt idx="1">
                  <c:v>98</c:v>
                </c:pt>
                <c:pt idx="2">
                  <c:v>68</c:v>
                </c:pt>
                <c:pt idx="3">
                  <c:v>58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7-49AD-BBA7-65297DC00228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'기타작업-1'!$D$3:$D$7</c:f>
              <c:numCache>
                <c:formatCode>General</c:formatCode>
                <c:ptCount val="5"/>
                <c:pt idx="0">
                  <c:v>70</c:v>
                </c:pt>
                <c:pt idx="1">
                  <c:v>80</c:v>
                </c:pt>
                <c:pt idx="2">
                  <c:v>74</c:v>
                </c:pt>
                <c:pt idx="3">
                  <c:v>64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7-49AD-BBA7-65297DC00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8074928"/>
        <c:axId val="1888075888"/>
      </c:barChart>
      <c:catAx>
        <c:axId val="1888074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8075888"/>
        <c:crosses val="autoZero"/>
        <c:auto val="1"/>
        <c:lblAlgn val="ctr"/>
        <c:lblOffset val="100"/>
        <c:noMultiLvlLbl val="0"/>
      </c:catAx>
      <c:valAx>
        <c:axId val="18880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807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488950</xdr:colOff>
      <xdr:row>21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66675</xdr:rowOff>
        </xdr:from>
        <xdr:to>
          <xdr:col>5</xdr:col>
          <xdr:colOff>466725</xdr:colOff>
          <xdr:row>1</xdr:row>
          <xdr:rowOff>142875</xdr:rowOff>
        </xdr:to>
        <xdr:sp macro="" textlink="">
          <xdr:nvSpPr>
            <xdr:cNvPr id="2049" name="cmd원서접수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J18"/>
  <sheetViews>
    <sheetView tabSelected="1" workbookViewId="0"/>
  </sheetViews>
  <sheetFormatPr defaultRowHeight="16.5" x14ac:dyDescent="0.3"/>
  <cols>
    <col min="1" max="1" width="8.375" customWidth="1"/>
    <col min="2" max="2" width="8.125" customWidth="1"/>
    <col min="3" max="4" width="8.5" customWidth="1"/>
    <col min="5" max="5" width="10.625" customWidth="1"/>
    <col min="6" max="6" width="10" customWidth="1"/>
    <col min="7" max="7" width="8.375" customWidth="1"/>
    <col min="8" max="8" width="18.25" customWidth="1"/>
    <col min="9" max="9" width="9.2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41</v>
      </c>
      <c r="G1" s="1" t="s">
        <v>5</v>
      </c>
      <c r="H1" s="1" t="s">
        <v>6</v>
      </c>
      <c r="I1" s="1" t="s">
        <v>7</v>
      </c>
    </row>
    <row r="2" spans="1:9" x14ac:dyDescent="0.3">
      <c r="A2" s="2" t="s">
        <v>8</v>
      </c>
      <c r="B2" s="2" t="s">
        <v>9</v>
      </c>
      <c r="C2" s="3">
        <v>6</v>
      </c>
      <c r="D2" s="3">
        <v>6</v>
      </c>
      <c r="E2" s="4">
        <v>220000</v>
      </c>
      <c r="F2" s="5">
        <v>10780</v>
      </c>
      <c r="G2" s="3">
        <v>2</v>
      </c>
      <c r="H2" s="2" t="s">
        <v>10</v>
      </c>
      <c r="I2" s="5">
        <f t="shared" ref="I2:I17" si="0">(E2-F2)/C2</f>
        <v>34870</v>
      </c>
    </row>
    <row r="3" spans="1:9" x14ac:dyDescent="0.3">
      <c r="A3" s="2" t="s">
        <v>11</v>
      </c>
      <c r="B3" s="2" t="s">
        <v>12</v>
      </c>
      <c r="C3" s="3">
        <v>6</v>
      </c>
      <c r="D3" s="3">
        <v>4</v>
      </c>
      <c r="E3" s="4">
        <v>110000</v>
      </c>
      <c r="F3" s="5">
        <v>43200</v>
      </c>
      <c r="G3" s="3">
        <v>5</v>
      </c>
      <c r="H3" s="2" t="s">
        <v>13</v>
      </c>
      <c r="I3" s="5">
        <f t="shared" si="0"/>
        <v>11133.333333333334</v>
      </c>
    </row>
    <row r="4" spans="1:9" x14ac:dyDescent="0.3">
      <c r="A4" s="2" t="s">
        <v>14</v>
      </c>
      <c r="B4" s="2" t="s">
        <v>15</v>
      </c>
      <c r="C4" s="3">
        <v>5</v>
      </c>
      <c r="D4" s="3">
        <v>1</v>
      </c>
      <c r="E4" s="4">
        <v>1650000</v>
      </c>
      <c r="F4" s="5">
        <v>1353000</v>
      </c>
      <c r="G4" s="3">
        <v>1</v>
      </c>
      <c r="H4" s="2" t="s">
        <v>16</v>
      </c>
      <c r="I4" s="5">
        <f t="shared" si="0"/>
        <v>59400</v>
      </c>
    </row>
    <row r="5" spans="1:9" x14ac:dyDescent="0.3">
      <c r="A5" s="2" t="s">
        <v>17</v>
      </c>
      <c r="B5" s="2" t="s">
        <v>18</v>
      </c>
      <c r="C5" s="3">
        <v>5</v>
      </c>
      <c r="D5" s="3">
        <v>3</v>
      </c>
      <c r="E5" s="4">
        <v>33000</v>
      </c>
      <c r="F5" s="5">
        <v>15180</v>
      </c>
      <c r="G5" s="3">
        <v>3</v>
      </c>
      <c r="H5" s="2" t="s">
        <v>19</v>
      </c>
      <c r="I5" s="5">
        <f t="shared" si="0"/>
        <v>3564</v>
      </c>
    </row>
    <row r="6" spans="1:9" x14ac:dyDescent="0.3">
      <c r="A6" s="2" t="s">
        <v>20</v>
      </c>
      <c r="B6" s="2" t="s">
        <v>15</v>
      </c>
      <c r="C6" s="3">
        <v>6</v>
      </c>
      <c r="D6" s="3">
        <v>2</v>
      </c>
      <c r="E6" s="4">
        <v>2420000</v>
      </c>
      <c r="F6" s="5">
        <v>1848000</v>
      </c>
      <c r="G6" s="3">
        <v>4</v>
      </c>
      <c r="H6" s="2" t="s">
        <v>21</v>
      </c>
      <c r="I6" s="5">
        <f t="shared" si="0"/>
        <v>95333.333333333328</v>
      </c>
    </row>
    <row r="7" spans="1:9" x14ac:dyDescent="0.3">
      <c r="A7" s="2" t="s">
        <v>22</v>
      </c>
      <c r="B7" s="2" t="s">
        <v>23</v>
      </c>
      <c r="C7" s="3">
        <v>4</v>
      </c>
      <c r="D7" s="3">
        <v>2</v>
      </c>
      <c r="E7" s="4">
        <v>550000</v>
      </c>
      <c r="F7" s="5">
        <v>302500</v>
      </c>
      <c r="G7" s="3">
        <v>6</v>
      </c>
      <c r="H7" s="2" t="s">
        <v>24</v>
      </c>
      <c r="I7" s="5">
        <f t="shared" si="0"/>
        <v>61875</v>
      </c>
    </row>
    <row r="8" spans="1:9" x14ac:dyDescent="0.3">
      <c r="A8" s="2" t="s">
        <v>25</v>
      </c>
      <c r="B8" s="2" t="s">
        <v>12</v>
      </c>
      <c r="C8" s="3">
        <v>6</v>
      </c>
      <c r="D8" s="3">
        <v>2</v>
      </c>
      <c r="E8" s="4">
        <v>88000</v>
      </c>
      <c r="F8" s="5">
        <v>39600</v>
      </c>
      <c r="G8" s="3">
        <v>4</v>
      </c>
      <c r="H8" s="2" t="s">
        <v>26</v>
      </c>
      <c r="I8" s="5">
        <f t="shared" si="0"/>
        <v>8066.666666666667</v>
      </c>
    </row>
    <row r="9" spans="1:9" x14ac:dyDescent="0.3">
      <c r="A9" s="2" t="s">
        <v>27</v>
      </c>
      <c r="B9" s="2" t="s">
        <v>15</v>
      </c>
      <c r="C9" s="3">
        <v>6</v>
      </c>
      <c r="D9" s="3">
        <v>3</v>
      </c>
      <c r="E9" s="4">
        <v>11000</v>
      </c>
      <c r="F9" s="5">
        <v>5060</v>
      </c>
      <c r="G9" s="3">
        <v>3</v>
      </c>
      <c r="H9" s="2" t="s">
        <v>28</v>
      </c>
      <c r="I9" s="5">
        <f t="shared" si="0"/>
        <v>990</v>
      </c>
    </row>
    <row r="10" spans="1:9" x14ac:dyDescent="0.3">
      <c r="A10" s="2" t="s">
        <v>29</v>
      </c>
      <c r="B10" s="2" t="s">
        <v>18</v>
      </c>
      <c r="C10" s="3">
        <v>5</v>
      </c>
      <c r="D10" s="3">
        <v>3</v>
      </c>
      <c r="E10" s="4">
        <v>60500</v>
      </c>
      <c r="F10" s="5">
        <v>27830</v>
      </c>
      <c r="G10" s="3">
        <v>5</v>
      </c>
      <c r="H10" s="2" t="s">
        <v>30</v>
      </c>
      <c r="I10" s="5">
        <f t="shared" si="0"/>
        <v>6534</v>
      </c>
    </row>
    <row r="11" spans="1:9" x14ac:dyDescent="0.3">
      <c r="A11" s="2" t="s">
        <v>31</v>
      </c>
      <c r="B11" s="2" t="s">
        <v>15</v>
      </c>
      <c r="C11" s="3">
        <v>6</v>
      </c>
      <c r="D11" s="3">
        <v>5</v>
      </c>
      <c r="E11" s="4">
        <v>110000</v>
      </c>
      <c r="F11" s="5">
        <v>17600</v>
      </c>
      <c r="G11" s="3">
        <v>2</v>
      </c>
      <c r="H11" s="2" t="s">
        <v>21</v>
      </c>
      <c r="I11" s="5">
        <f t="shared" si="0"/>
        <v>15400</v>
      </c>
    </row>
    <row r="12" spans="1:9" x14ac:dyDescent="0.3">
      <c r="A12" s="2" t="s">
        <v>32</v>
      </c>
      <c r="B12" s="2" t="s">
        <v>15</v>
      </c>
      <c r="C12" s="3">
        <v>6</v>
      </c>
      <c r="D12" s="3">
        <v>4</v>
      </c>
      <c r="E12" s="4">
        <v>220000</v>
      </c>
      <c r="F12" s="5">
        <v>88000</v>
      </c>
      <c r="G12" s="3">
        <v>3</v>
      </c>
      <c r="H12" s="2" t="s">
        <v>16</v>
      </c>
      <c r="I12" s="5">
        <f t="shared" si="0"/>
        <v>22000</v>
      </c>
    </row>
    <row r="13" spans="1:9" x14ac:dyDescent="0.3">
      <c r="A13" s="2" t="s">
        <v>33</v>
      </c>
      <c r="B13" s="2" t="s">
        <v>18</v>
      </c>
      <c r="C13" s="3">
        <v>4</v>
      </c>
      <c r="D13" s="3">
        <v>3</v>
      </c>
      <c r="E13" s="4">
        <v>440000</v>
      </c>
      <c r="F13" s="5">
        <v>143000</v>
      </c>
      <c r="G13" s="3">
        <v>6</v>
      </c>
      <c r="H13" s="2" t="s">
        <v>34</v>
      </c>
      <c r="I13" s="5">
        <f t="shared" si="0"/>
        <v>74250</v>
      </c>
    </row>
    <row r="14" spans="1:9" x14ac:dyDescent="0.3">
      <c r="A14" s="2" t="s">
        <v>35</v>
      </c>
      <c r="B14" s="2" t="s">
        <v>9</v>
      </c>
      <c r="C14" s="3">
        <v>6</v>
      </c>
      <c r="D14" s="3">
        <v>3</v>
      </c>
      <c r="E14" s="4">
        <v>110000</v>
      </c>
      <c r="F14" s="5">
        <v>60500</v>
      </c>
      <c r="G14" s="3">
        <v>7</v>
      </c>
      <c r="H14" s="2" t="s">
        <v>13</v>
      </c>
      <c r="I14" s="5">
        <f t="shared" si="0"/>
        <v>8250</v>
      </c>
    </row>
    <row r="15" spans="1:9" x14ac:dyDescent="0.3">
      <c r="A15" s="2" t="s">
        <v>36</v>
      </c>
      <c r="B15" s="2" t="s">
        <v>12</v>
      </c>
      <c r="C15" s="3">
        <v>6</v>
      </c>
      <c r="D15" s="3">
        <v>2</v>
      </c>
      <c r="E15" s="4">
        <v>88000</v>
      </c>
      <c r="F15" s="5">
        <v>61600</v>
      </c>
      <c r="G15" s="3">
        <v>8</v>
      </c>
      <c r="H15" s="2" t="s">
        <v>13</v>
      </c>
      <c r="I15" s="5">
        <f t="shared" si="0"/>
        <v>4400</v>
      </c>
    </row>
    <row r="16" spans="1:9" x14ac:dyDescent="0.3">
      <c r="A16" s="2" t="s">
        <v>37</v>
      </c>
      <c r="B16" s="2" t="s">
        <v>23</v>
      </c>
      <c r="C16" s="3">
        <v>3</v>
      </c>
      <c r="D16" s="3">
        <v>1</v>
      </c>
      <c r="E16" s="4">
        <v>66000</v>
      </c>
      <c r="F16" s="5">
        <v>63800</v>
      </c>
      <c r="G16" s="3">
        <v>2</v>
      </c>
      <c r="H16" s="2" t="s">
        <v>38</v>
      </c>
      <c r="I16" s="5">
        <f t="shared" si="0"/>
        <v>733.33333333333337</v>
      </c>
    </row>
    <row r="17" spans="1:10" x14ac:dyDescent="0.3">
      <c r="A17" s="2" t="s">
        <v>39</v>
      </c>
      <c r="B17" s="2" t="s">
        <v>23</v>
      </c>
      <c r="C17" s="3">
        <v>3</v>
      </c>
      <c r="D17" s="3">
        <v>2</v>
      </c>
      <c r="E17" s="4">
        <v>132000</v>
      </c>
      <c r="F17" s="5">
        <v>73700</v>
      </c>
      <c r="G17" s="3">
        <v>6</v>
      </c>
      <c r="H17" s="2" t="s">
        <v>40</v>
      </c>
      <c r="I17" s="5">
        <f t="shared" si="0"/>
        <v>19433.333333333332</v>
      </c>
    </row>
    <row r="18" spans="1:10" x14ac:dyDescent="0.3">
      <c r="A18" s="6"/>
      <c r="B18" s="6"/>
      <c r="C18" s="6"/>
      <c r="D18" s="6"/>
      <c r="E18" s="6"/>
      <c r="F18" s="6"/>
      <c r="G18" s="6"/>
      <c r="H18" s="6"/>
      <c r="I18" s="6"/>
      <c r="J18" s="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4774E-ECCE-4F67-8022-915797217071}">
  <sheetPr codeName="Sheet3"/>
  <dimension ref="B2:F17"/>
  <sheetViews>
    <sheetView workbookViewId="0"/>
  </sheetViews>
  <sheetFormatPr defaultRowHeight="16.5" x14ac:dyDescent="0.3"/>
  <cols>
    <col min="1" max="1" width="3.5" customWidth="1"/>
  </cols>
  <sheetData>
    <row r="2" spans="2:6" x14ac:dyDescent="0.3">
      <c r="B2" s="7" t="s">
        <v>42</v>
      </c>
    </row>
    <row r="3" spans="2:6" x14ac:dyDescent="0.3">
      <c r="B3" s="8" t="s">
        <v>43</v>
      </c>
      <c r="C3" s="8" t="s">
        <v>44</v>
      </c>
      <c r="D3" s="8" t="s">
        <v>45</v>
      </c>
      <c r="E3" s="8" t="s">
        <v>46</v>
      </c>
      <c r="F3" s="8" t="s">
        <v>47</v>
      </c>
    </row>
    <row r="4" spans="2:6" x14ac:dyDescent="0.3">
      <c r="B4" s="8" t="s">
        <v>48</v>
      </c>
      <c r="C4" s="8" t="s">
        <v>49</v>
      </c>
      <c r="D4" s="8" t="s">
        <v>50</v>
      </c>
      <c r="E4" s="8">
        <v>25</v>
      </c>
      <c r="F4" s="8" t="str">
        <f t="shared" ref="F4:F13" si="0">HLOOKUP(MID(B4,3,1),$C$16:$F$17,2,FALSE)</f>
        <v>기획부</v>
      </c>
    </row>
    <row r="5" spans="2:6" x14ac:dyDescent="0.3">
      <c r="B5" s="8" t="s">
        <v>51</v>
      </c>
      <c r="C5" s="8" t="s">
        <v>52</v>
      </c>
      <c r="D5" s="8" t="s">
        <v>53</v>
      </c>
      <c r="E5" s="8">
        <v>35</v>
      </c>
      <c r="F5" s="8" t="str">
        <f t="shared" si="0"/>
        <v>생산부</v>
      </c>
    </row>
    <row r="6" spans="2:6" x14ac:dyDescent="0.3">
      <c r="B6" s="8" t="s">
        <v>54</v>
      </c>
      <c r="C6" s="8" t="s">
        <v>55</v>
      </c>
      <c r="D6" s="8" t="s">
        <v>53</v>
      </c>
      <c r="E6" s="8">
        <v>27</v>
      </c>
      <c r="F6" s="8" t="str">
        <f t="shared" si="0"/>
        <v>영업부</v>
      </c>
    </row>
    <row r="7" spans="2:6" x14ac:dyDescent="0.3">
      <c r="B7" s="8" t="s">
        <v>56</v>
      </c>
      <c r="C7" s="8" t="s">
        <v>57</v>
      </c>
      <c r="D7" s="8" t="s">
        <v>50</v>
      </c>
      <c r="E7" s="8">
        <v>32</v>
      </c>
      <c r="F7" s="8" t="str">
        <f t="shared" si="0"/>
        <v>영업부</v>
      </c>
    </row>
    <row r="8" spans="2:6" x14ac:dyDescent="0.3">
      <c r="B8" s="8" t="s">
        <v>58</v>
      </c>
      <c r="C8" s="8" t="s">
        <v>59</v>
      </c>
      <c r="D8" s="8" t="s">
        <v>50</v>
      </c>
      <c r="E8" s="8">
        <v>55</v>
      </c>
      <c r="F8" s="8" t="str">
        <f t="shared" si="0"/>
        <v>생산부</v>
      </c>
    </row>
    <row r="9" spans="2:6" x14ac:dyDescent="0.3">
      <c r="B9" s="8" t="s">
        <v>60</v>
      </c>
      <c r="C9" s="8" t="s">
        <v>61</v>
      </c>
      <c r="D9" s="8" t="s">
        <v>50</v>
      </c>
      <c r="E9" s="8">
        <v>39</v>
      </c>
      <c r="F9" s="8" t="str">
        <f t="shared" si="0"/>
        <v>생산부</v>
      </c>
    </row>
    <row r="10" spans="2:6" x14ac:dyDescent="0.3">
      <c r="B10" s="8" t="s">
        <v>62</v>
      </c>
      <c r="C10" s="8" t="s">
        <v>63</v>
      </c>
      <c r="D10" s="8" t="s">
        <v>53</v>
      </c>
      <c r="E10" s="8">
        <v>28</v>
      </c>
      <c r="F10" s="8" t="str">
        <f t="shared" si="0"/>
        <v>영업부</v>
      </c>
    </row>
    <row r="11" spans="2:6" x14ac:dyDescent="0.3">
      <c r="B11" s="8" t="s">
        <v>64</v>
      </c>
      <c r="C11" s="8" t="s">
        <v>65</v>
      </c>
      <c r="D11" s="8" t="s">
        <v>53</v>
      </c>
      <c r="E11" s="8">
        <v>45</v>
      </c>
      <c r="F11" s="8" t="str">
        <f t="shared" si="0"/>
        <v>경리부</v>
      </c>
    </row>
    <row r="12" spans="2:6" x14ac:dyDescent="0.3">
      <c r="B12" s="8" t="s">
        <v>66</v>
      </c>
      <c r="C12" s="8" t="s">
        <v>67</v>
      </c>
      <c r="D12" s="8" t="s">
        <v>53</v>
      </c>
      <c r="E12" s="8">
        <v>42</v>
      </c>
      <c r="F12" s="8" t="str">
        <f t="shared" si="0"/>
        <v>기획부</v>
      </c>
    </row>
    <row r="13" spans="2:6" x14ac:dyDescent="0.3">
      <c r="B13" s="8" t="s">
        <v>68</v>
      </c>
      <c r="C13" s="8" t="s">
        <v>69</v>
      </c>
      <c r="D13" s="8" t="s">
        <v>50</v>
      </c>
      <c r="E13" s="8">
        <v>34</v>
      </c>
      <c r="F13" s="8" t="str">
        <f t="shared" si="0"/>
        <v>경리부</v>
      </c>
    </row>
    <row r="15" spans="2:6" x14ac:dyDescent="0.3">
      <c r="B15" s="6" t="s">
        <v>70</v>
      </c>
    </row>
    <row r="16" spans="2:6" x14ac:dyDescent="0.3">
      <c r="B16" s="9" t="s">
        <v>71</v>
      </c>
      <c r="C16" s="9" t="s">
        <v>72</v>
      </c>
      <c r="D16" s="9" t="s">
        <v>73</v>
      </c>
      <c r="E16" s="9" t="s">
        <v>74</v>
      </c>
      <c r="F16" s="9" t="s">
        <v>75</v>
      </c>
    </row>
    <row r="17" spans="2:6" x14ac:dyDescent="0.3">
      <c r="B17" s="9" t="s">
        <v>47</v>
      </c>
      <c r="C17" s="9" t="s">
        <v>76</v>
      </c>
      <c r="D17" s="9" t="s">
        <v>77</v>
      </c>
      <c r="E17" s="9" t="s">
        <v>78</v>
      </c>
      <c r="F17" s="9" t="s">
        <v>79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I23"/>
  <sheetViews>
    <sheetView workbookViewId="0"/>
  </sheetViews>
  <sheetFormatPr defaultRowHeight="16.5" x14ac:dyDescent="0.3"/>
  <cols>
    <col min="1" max="1" width="7.125" bestFit="1" customWidth="1"/>
    <col min="2" max="2" width="7.375" bestFit="1" customWidth="1"/>
    <col min="3" max="3" width="15.875" bestFit="1" customWidth="1"/>
    <col min="4" max="4" width="11.125" bestFit="1" customWidth="1"/>
    <col min="5" max="5" width="7.375" bestFit="1" customWidth="1"/>
    <col min="7" max="7" width="11" bestFit="1" customWidth="1"/>
    <col min="8" max="8" width="7.375" bestFit="1" customWidth="1"/>
    <col min="9" max="9" width="11.125" bestFit="1" customWidth="1"/>
  </cols>
  <sheetData>
    <row r="1" spans="1:9" x14ac:dyDescent="0.3">
      <c r="A1" t="s">
        <v>80</v>
      </c>
    </row>
    <row r="2" spans="1:9" x14ac:dyDescent="0.3">
      <c r="A2" s="8" t="s">
        <v>47</v>
      </c>
      <c r="B2" s="10" t="s">
        <v>187</v>
      </c>
      <c r="C2" s="10" t="s">
        <v>81</v>
      </c>
      <c r="D2" s="10" t="s">
        <v>188</v>
      </c>
      <c r="E2" s="10" t="s">
        <v>189</v>
      </c>
    </row>
    <row r="3" spans="1:9" x14ac:dyDescent="0.3">
      <c r="A3" s="8" t="s">
        <v>82</v>
      </c>
      <c r="B3" s="11"/>
      <c r="C3" s="11"/>
      <c r="D3" s="11"/>
      <c r="E3" s="11"/>
    </row>
    <row r="4" spans="1:9" x14ac:dyDescent="0.3">
      <c r="A4" s="8" t="s">
        <v>76</v>
      </c>
      <c r="B4" s="11"/>
      <c r="C4" s="11"/>
      <c r="D4" s="11"/>
      <c r="E4" s="11"/>
      <c r="I4" s="17"/>
    </row>
    <row r="5" spans="1:9" x14ac:dyDescent="0.3">
      <c r="A5" s="8" t="s">
        <v>83</v>
      </c>
      <c r="B5" s="11"/>
      <c r="C5" s="11"/>
      <c r="D5" s="11"/>
      <c r="E5" s="11"/>
    </row>
    <row r="7" spans="1:9" x14ac:dyDescent="0.3">
      <c r="A7" t="s">
        <v>84</v>
      </c>
    </row>
    <row r="8" spans="1:9" x14ac:dyDescent="0.3">
      <c r="A8" s="8" t="s">
        <v>47</v>
      </c>
      <c r="B8" s="8" t="s">
        <v>85</v>
      </c>
      <c r="C8" s="8" t="s">
        <v>86</v>
      </c>
      <c r="D8" s="10" t="s">
        <v>87</v>
      </c>
      <c r="E8" s="8" t="s">
        <v>88</v>
      </c>
      <c r="F8" s="8" t="s">
        <v>89</v>
      </c>
      <c r="G8" s="10" t="s">
        <v>90</v>
      </c>
      <c r="H8" s="8" t="s">
        <v>91</v>
      </c>
      <c r="I8" s="10" t="s">
        <v>92</v>
      </c>
    </row>
    <row r="9" spans="1:9" x14ac:dyDescent="0.3">
      <c r="A9" s="8" t="s">
        <v>83</v>
      </c>
      <c r="B9" s="8" t="s">
        <v>93</v>
      </c>
      <c r="C9" s="8" t="s">
        <v>179</v>
      </c>
      <c r="D9" s="12"/>
      <c r="E9" s="11">
        <v>1500</v>
      </c>
      <c r="F9" s="8" t="s">
        <v>94</v>
      </c>
      <c r="G9" s="11"/>
      <c r="H9" s="11">
        <v>1500</v>
      </c>
      <c r="I9" s="11"/>
    </row>
    <row r="10" spans="1:9" x14ac:dyDescent="0.3">
      <c r="A10" s="8" t="s">
        <v>76</v>
      </c>
      <c r="B10" s="8" t="s">
        <v>95</v>
      </c>
      <c r="C10" s="8" t="s">
        <v>182</v>
      </c>
      <c r="D10" s="12"/>
      <c r="E10" s="11">
        <v>8500</v>
      </c>
      <c r="F10" s="8" t="s">
        <v>96</v>
      </c>
      <c r="G10" s="11"/>
      <c r="H10" s="11">
        <v>1500</v>
      </c>
      <c r="I10" s="11"/>
    </row>
    <row r="11" spans="1:9" x14ac:dyDescent="0.3">
      <c r="A11" s="8" t="s">
        <v>82</v>
      </c>
      <c r="B11" s="8" t="s">
        <v>97</v>
      </c>
      <c r="C11" s="8" t="s">
        <v>180</v>
      </c>
      <c r="D11" s="12"/>
      <c r="E11" s="11">
        <v>6000</v>
      </c>
      <c r="F11" s="8" t="s">
        <v>96</v>
      </c>
      <c r="G11" s="11"/>
      <c r="H11" s="11">
        <v>2500</v>
      </c>
      <c r="I11" s="11"/>
    </row>
    <row r="12" spans="1:9" x14ac:dyDescent="0.3">
      <c r="A12" s="8" t="s">
        <v>83</v>
      </c>
      <c r="B12" s="8" t="s">
        <v>98</v>
      </c>
      <c r="C12" s="8" t="s">
        <v>183</v>
      </c>
      <c r="D12" s="12"/>
      <c r="E12" s="11">
        <v>4500</v>
      </c>
      <c r="F12" s="8" t="s">
        <v>94</v>
      </c>
      <c r="G12" s="11"/>
      <c r="H12" s="11">
        <v>1000</v>
      </c>
      <c r="I12" s="11"/>
    </row>
    <row r="13" spans="1:9" x14ac:dyDescent="0.3">
      <c r="A13" s="8" t="s">
        <v>82</v>
      </c>
      <c r="B13" s="8" t="s">
        <v>99</v>
      </c>
      <c r="C13" s="8" t="s">
        <v>185</v>
      </c>
      <c r="D13" s="12"/>
      <c r="E13" s="11">
        <v>5500</v>
      </c>
      <c r="F13" s="8" t="s">
        <v>96</v>
      </c>
      <c r="G13" s="11"/>
      <c r="H13" s="11">
        <v>2000</v>
      </c>
      <c r="I13" s="11"/>
    </row>
    <row r="14" spans="1:9" x14ac:dyDescent="0.3">
      <c r="A14" s="8" t="s">
        <v>82</v>
      </c>
      <c r="B14" s="8" t="s">
        <v>100</v>
      </c>
      <c r="C14" s="8" t="s">
        <v>106</v>
      </c>
      <c r="D14" s="12"/>
      <c r="E14" s="11">
        <v>3000</v>
      </c>
      <c r="F14" s="8" t="s">
        <v>94</v>
      </c>
      <c r="G14" s="11"/>
      <c r="H14" s="11">
        <v>2500</v>
      </c>
      <c r="I14" s="11"/>
    </row>
    <row r="15" spans="1:9" x14ac:dyDescent="0.3">
      <c r="A15" s="8" t="s">
        <v>76</v>
      </c>
      <c r="B15" s="8" t="s">
        <v>101</v>
      </c>
      <c r="C15" s="8" t="s">
        <v>184</v>
      </c>
      <c r="D15" s="12"/>
      <c r="E15" s="11">
        <v>7500</v>
      </c>
      <c r="F15" s="8" t="s">
        <v>94</v>
      </c>
      <c r="G15" s="11"/>
      <c r="H15" s="11">
        <v>1500</v>
      </c>
      <c r="I15" s="11"/>
    </row>
    <row r="16" spans="1:9" x14ac:dyDescent="0.3">
      <c r="A16" s="8" t="s">
        <v>76</v>
      </c>
      <c r="B16" s="8" t="s">
        <v>102</v>
      </c>
      <c r="C16" s="8" t="s">
        <v>186</v>
      </c>
      <c r="D16" s="12"/>
      <c r="E16" s="11">
        <v>2000</v>
      </c>
      <c r="F16" s="8" t="s">
        <v>96</v>
      </c>
      <c r="G16" s="11"/>
      <c r="H16" s="11">
        <v>1500</v>
      </c>
      <c r="I16" s="11"/>
    </row>
    <row r="17" spans="1:9" x14ac:dyDescent="0.3">
      <c r="A17" s="8" t="s">
        <v>83</v>
      </c>
      <c r="B17" s="8" t="s">
        <v>103</v>
      </c>
      <c r="C17" s="8" t="s">
        <v>107</v>
      </c>
      <c r="D17" s="12"/>
      <c r="E17" s="11">
        <v>8000</v>
      </c>
      <c r="F17" s="8" t="s">
        <v>94</v>
      </c>
      <c r="G17" s="11"/>
      <c r="H17" s="11">
        <v>1000</v>
      </c>
      <c r="I17" s="11"/>
    </row>
    <row r="18" spans="1:9" x14ac:dyDescent="0.3">
      <c r="A18" s="8" t="s">
        <v>82</v>
      </c>
      <c r="B18" s="8" t="s">
        <v>104</v>
      </c>
      <c r="C18" s="8" t="s">
        <v>181</v>
      </c>
      <c r="D18" s="12"/>
      <c r="E18" s="11">
        <v>5000</v>
      </c>
      <c r="F18" s="8" t="s">
        <v>96</v>
      </c>
      <c r="G18" s="11"/>
      <c r="H18" s="11">
        <v>2500</v>
      </c>
      <c r="I18" s="11"/>
    </row>
    <row r="20" spans="1:9" x14ac:dyDescent="0.3">
      <c r="A20" t="s">
        <v>127</v>
      </c>
    </row>
    <row r="21" spans="1:9" x14ac:dyDescent="0.3">
      <c r="A21" s="18" t="s">
        <v>105</v>
      </c>
      <c r="B21" s="18"/>
    </row>
    <row r="22" spans="1:9" x14ac:dyDescent="0.3">
      <c r="A22" s="10" t="s">
        <v>94</v>
      </c>
      <c r="B22" s="8"/>
    </row>
    <row r="23" spans="1:9" x14ac:dyDescent="0.3">
      <c r="A23" s="10" t="s">
        <v>96</v>
      </c>
      <c r="B23" s="8"/>
    </row>
  </sheetData>
  <mergeCells count="1">
    <mergeCell ref="A21:B2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 x14ac:dyDescent="0.3"/>
  <cols>
    <col min="1" max="1" width="3.25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M19"/>
  <sheetViews>
    <sheetView workbookViewId="0"/>
  </sheetViews>
  <sheetFormatPr defaultRowHeight="16.5" x14ac:dyDescent="0.3"/>
  <cols>
    <col min="1" max="1" width="7.125" bestFit="1" customWidth="1"/>
    <col min="3" max="3" width="7.125" bestFit="1" customWidth="1"/>
    <col min="5" max="5" width="1.75" customWidth="1"/>
    <col min="6" max="6" width="7.125" bestFit="1" customWidth="1"/>
    <col min="8" max="8" width="7.125" bestFit="1" customWidth="1"/>
    <col min="10" max="10" width="1.75" customWidth="1"/>
    <col min="11" max="11" width="7.125" bestFit="1" customWidth="1"/>
  </cols>
  <sheetData>
    <row r="1" spans="1:13" x14ac:dyDescent="0.3">
      <c r="A1" t="s">
        <v>123</v>
      </c>
      <c r="B1" s="7" t="s">
        <v>124</v>
      </c>
      <c r="C1" s="7"/>
      <c r="D1" s="7"/>
      <c r="F1" t="s">
        <v>125</v>
      </c>
      <c r="G1" s="7" t="s">
        <v>108</v>
      </c>
      <c r="H1" s="7"/>
      <c r="I1" s="7"/>
      <c r="K1" t="s">
        <v>126</v>
      </c>
      <c r="L1" s="7" t="s">
        <v>109</v>
      </c>
      <c r="M1" s="13"/>
    </row>
    <row r="2" spans="1:13" x14ac:dyDescent="0.3">
      <c r="A2" s="8" t="s">
        <v>110</v>
      </c>
      <c r="B2" s="8" t="s">
        <v>111</v>
      </c>
      <c r="C2" s="8" t="s">
        <v>112</v>
      </c>
      <c r="D2" s="8" t="s">
        <v>113</v>
      </c>
      <c r="F2" s="8" t="s">
        <v>110</v>
      </c>
      <c r="G2" s="8" t="s">
        <v>111</v>
      </c>
      <c r="H2" s="8" t="s">
        <v>112</v>
      </c>
      <c r="I2" s="8" t="s">
        <v>113</v>
      </c>
      <c r="K2" s="8"/>
      <c r="L2" s="8"/>
      <c r="M2" s="8"/>
    </row>
    <row r="3" spans="1:13" x14ac:dyDescent="0.3">
      <c r="A3" s="8" t="s">
        <v>114</v>
      </c>
      <c r="B3" s="14">
        <v>3</v>
      </c>
      <c r="C3" s="14">
        <v>75</v>
      </c>
      <c r="D3" s="14">
        <v>36</v>
      </c>
      <c r="F3" s="8" t="s">
        <v>114</v>
      </c>
      <c r="G3" s="14">
        <v>1</v>
      </c>
      <c r="H3" s="14">
        <v>77</v>
      </c>
      <c r="I3" s="14">
        <v>38</v>
      </c>
      <c r="K3" s="8"/>
      <c r="L3" s="14"/>
      <c r="M3" s="14"/>
    </row>
    <row r="4" spans="1:13" x14ac:dyDescent="0.3">
      <c r="A4" s="8" t="s">
        <v>116</v>
      </c>
      <c r="B4" s="14">
        <v>2</v>
      </c>
      <c r="C4" s="14">
        <v>76</v>
      </c>
      <c r="D4" s="14">
        <v>38</v>
      </c>
      <c r="F4" s="8" t="s">
        <v>116</v>
      </c>
      <c r="G4" s="14">
        <v>4</v>
      </c>
      <c r="H4" s="14">
        <v>74</v>
      </c>
      <c r="I4" s="14">
        <v>36</v>
      </c>
      <c r="K4" s="8"/>
      <c r="L4" s="14"/>
      <c r="M4" s="14"/>
    </row>
    <row r="5" spans="1:13" x14ac:dyDescent="0.3">
      <c r="A5" s="8" t="s">
        <v>115</v>
      </c>
      <c r="B5" s="14"/>
      <c r="C5" s="14">
        <v>77</v>
      </c>
      <c r="D5" s="14">
        <v>38</v>
      </c>
      <c r="F5" s="8" t="s">
        <v>115</v>
      </c>
      <c r="G5" s="14">
        <v>3</v>
      </c>
      <c r="H5" s="14">
        <v>75</v>
      </c>
      <c r="I5" s="14">
        <v>36</v>
      </c>
      <c r="K5" s="8"/>
      <c r="L5" s="14"/>
      <c r="M5" s="14"/>
    </row>
    <row r="6" spans="1:13" x14ac:dyDescent="0.3">
      <c r="A6" s="8" t="s">
        <v>117</v>
      </c>
      <c r="B6" s="14">
        <v>4</v>
      </c>
      <c r="C6" s="14">
        <v>74</v>
      </c>
      <c r="D6" s="14">
        <v>34</v>
      </c>
      <c r="F6" s="8" t="s">
        <v>117</v>
      </c>
      <c r="G6" s="14">
        <v>2</v>
      </c>
      <c r="H6" s="14">
        <v>76</v>
      </c>
      <c r="I6" s="14">
        <v>38</v>
      </c>
    </row>
    <row r="7" spans="1:13" x14ac:dyDescent="0.3">
      <c r="A7" s="8" t="s">
        <v>118</v>
      </c>
      <c r="B7" s="14">
        <v>3</v>
      </c>
      <c r="C7" s="14">
        <v>75</v>
      </c>
      <c r="D7" s="14">
        <v>38</v>
      </c>
      <c r="F7" s="8" t="s">
        <v>118</v>
      </c>
      <c r="G7" s="14">
        <v>1</v>
      </c>
      <c r="H7" s="14">
        <v>77</v>
      </c>
      <c r="I7" s="14">
        <v>38</v>
      </c>
    </row>
    <row r="8" spans="1:13" x14ac:dyDescent="0.3">
      <c r="A8" s="8" t="s">
        <v>119</v>
      </c>
      <c r="B8" s="14">
        <v>2</v>
      </c>
      <c r="C8" s="14">
        <v>76</v>
      </c>
      <c r="D8" s="14">
        <v>38</v>
      </c>
      <c r="F8" s="8" t="s">
        <v>119</v>
      </c>
      <c r="G8" s="14"/>
      <c r="H8" s="14">
        <v>78</v>
      </c>
      <c r="I8" s="14">
        <v>40</v>
      </c>
    </row>
    <row r="9" spans="1:13" x14ac:dyDescent="0.3">
      <c r="A9" s="8" t="s">
        <v>120</v>
      </c>
      <c r="B9" s="14">
        <v>5</v>
      </c>
      <c r="C9" s="14">
        <v>73</v>
      </c>
      <c r="D9" s="14">
        <v>32</v>
      </c>
      <c r="F9" s="8" t="s">
        <v>120</v>
      </c>
      <c r="G9" s="14">
        <v>3</v>
      </c>
      <c r="H9" s="14">
        <v>75</v>
      </c>
      <c r="I9" s="14">
        <v>38</v>
      </c>
    </row>
    <row r="11" spans="1:13" x14ac:dyDescent="0.3">
      <c r="A11" t="s">
        <v>127</v>
      </c>
      <c r="B11" s="7" t="s">
        <v>121</v>
      </c>
      <c r="C11" s="7"/>
      <c r="D11" s="7"/>
      <c r="F11" t="s">
        <v>128</v>
      </c>
      <c r="G11" s="7" t="s">
        <v>122</v>
      </c>
      <c r="H11" s="7"/>
      <c r="I11" s="7"/>
    </row>
    <row r="12" spans="1:13" x14ac:dyDescent="0.3">
      <c r="A12" s="8" t="s">
        <v>110</v>
      </c>
      <c r="B12" s="8" t="s">
        <v>111</v>
      </c>
      <c r="C12" s="8" t="s">
        <v>112</v>
      </c>
      <c r="D12" s="8" t="s">
        <v>113</v>
      </c>
      <c r="F12" s="8" t="s">
        <v>110</v>
      </c>
      <c r="G12" s="8" t="s">
        <v>111</v>
      </c>
      <c r="H12" s="8" t="s">
        <v>112</v>
      </c>
      <c r="I12" s="8" t="s">
        <v>113</v>
      </c>
    </row>
    <row r="13" spans="1:13" x14ac:dyDescent="0.3">
      <c r="A13" s="8" t="s">
        <v>114</v>
      </c>
      <c r="B13" s="14">
        <v>2</v>
      </c>
      <c r="C13" s="14">
        <v>76</v>
      </c>
      <c r="D13" s="14">
        <v>38</v>
      </c>
      <c r="F13" s="8" t="s">
        <v>114</v>
      </c>
      <c r="G13" s="14">
        <v>6</v>
      </c>
      <c r="H13" s="14">
        <v>72</v>
      </c>
      <c r="I13" s="14">
        <v>30</v>
      </c>
    </row>
    <row r="14" spans="1:13" x14ac:dyDescent="0.3">
      <c r="A14" s="8" t="s">
        <v>116</v>
      </c>
      <c r="B14" s="14"/>
      <c r="C14" s="14">
        <v>78</v>
      </c>
      <c r="D14" s="14">
        <v>40</v>
      </c>
      <c r="F14" s="8" t="s">
        <v>116</v>
      </c>
      <c r="G14" s="14">
        <v>1</v>
      </c>
      <c r="H14" s="14">
        <v>77</v>
      </c>
      <c r="I14" s="14">
        <v>38</v>
      </c>
    </row>
    <row r="15" spans="1:13" x14ac:dyDescent="0.3">
      <c r="A15" s="8" t="s">
        <v>115</v>
      </c>
      <c r="B15" s="14"/>
      <c r="C15" s="14">
        <v>78</v>
      </c>
      <c r="D15" s="14">
        <v>40</v>
      </c>
      <c r="F15" s="8" t="s">
        <v>115</v>
      </c>
      <c r="G15" s="14">
        <v>3</v>
      </c>
      <c r="H15" s="14">
        <v>75</v>
      </c>
      <c r="I15" s="14">
        <v>36</v>
      </c>
    </row>
    <row r="16" spans="1:13" x14ac:dyDescent="0.3">
      <c r="A16" s="8" t="s">
        <v>117</v>
      </c>
      <c r="B16" s="14">
        <v>1</v>
      </c>
      <c r="C16" s="14">
        <v>77</v>
      </c>
      <c r="D16" s="14">
        <v>38</v>
      </c>
      <c r="F16" s="8" t="s">
        <v>117</v>
      </c>
      <c r="G16" s="14"/>
      <c r="H16" s="14">
        <v>78</v>
      </c>
      <c r="I16" s="14">
        <v>40</v>
      </c>
    </row>
    <row r="17" spans="1:9" x14ac:dyDescent="0.3">
      <c r="A17" s="8" t="s">
        <v>118</v>
      </c>
      <c r="B17" s="14">
        <v>4</v>
      </c>
      <c r="C17" s="14">
        <v>74</v>
      </c>
      <c r="D17" s="14">
        <v>36</v>
      </c>
      <c r="F17" s="8" t="s">
        <v>118</v>
      </c>
      <c r="G17" s="14">
        <v>2</v>
      </c>
      <c r="H17" s="14">
        <v>76</v>
      </c>
      <c r="I17" s="14">
        <v>38</v>
      </c>
    </row>
    <row r="18" spans="1:9" x14ac:dyDescent="0.3">
      <c r="A18" s="8" t="s">
        <v>119</v>
      </c>
      <c r="B18" s="14">
        <v>5</v>
      </c>
      <c r="C18" s="14">
        <v>73</v>
      </c>
      <c r="D18" s="14">
        <v>32</v>
      </c>
      <c r="F18" s="8" t="s">
        <v>119</v>
      </c>
      <c r="G18" s="14"/>
      <c r="H18" s="14">
        <v>78</v>
      </c>
      <c r="I18" s="14">
        <v>40</v>
      </c>
    </row>
    <row r="19" spans="1:9" x14ac:dyDescent="0.3">
      <c r="A19" s="8" t="s">
        <v>120</v>
      </c>
      <c r="B19" s="14">
        <v>3</v>
      </c>
      <c r="C19" s="14">
        <v>75</v>
      </c>
      <c r="D19" s="14">
        <v>38</v>
      </c>
      <c r="F19" s="8" t="s">
        <v>120</v>
      </c>
      <c r="G19" s="14">
        <v>4</v>
      </c>
      <c r="H19" s="14">
        <v>74</v>
      </c>
      <c r="I19" s="14">
        <v>36</v>
      </c>
    </row>
  </sheetData>
  <dataConsolidate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7"/>
  <sheetViews>
    <sheetView workbookViewId="0"/>
  </sheetViews>
  <sheetFormatPr defaultRowHeight="16.5" x14ac:dyDescent="0.3"/>
  <sheetData>
    <row r="1" spans="1:5" x14ac:dyDescent="0.3">
      <c r="B1" s="19" t="s">
        <v>129</v>
      </c>
      <c r="C1" s="19"/>
      <c r="D1" s="19"/>
      <c r="E1" s="19"/>
    </row>
    <row r="2" spans="1:5" x14ac:dyDescent="0.3">
      <c r="A2" s="8" t="s">
        <v>110</v>
      </c>
      <c r="B2" s="8" t="s">
        <v>130</v>
      </c>
      <c r="C2" s="8" t="s">
        <v>131</v>
      </c>
      <c r="D2" s="8" t="s">
        <v>132</v>
      </c>
      <c r="E2" s="8" t="s">
        <v>133</v>
      </c>
    </row>
    <row r="3" spans="1:5" x14ac:dyDescent="0.3">
      <c r="A3" s="8" t="s">
        <v>134</v>
      </c>
      <c r="B3" s="8" t="s">
        <v>135</v>
      </c>
      <c r="C3" s="8">
        <v>82</v>
      </c>
      <c r="D3" s="8">
        <v>70</v>
      </c>
      <c r="E3" s="8">
        <f>AVERAGE(C3:D3)</f>
        <v>76</v>
      </c>
    </row>
    <row r="4" spans="1:5" x14ac:dyDescent="0.3">
      <c r="A4" s="8" t="s">
        <v>136</v>
      </c>
      <c r="B4" s="8" t="s">
        <v>137</v>
      </c>
      <c r="C4" s="8">
        <v>98</v>
      </c>
      <c r="D4" s="8">
        <v>80</v>
      </c>
      <c r="E4" s="8">
        <f>AVERAGE(C4:D4)</f>
        <v>89</v>
      </c>
    </row>
    <row r="5" spans="1:5" x14ac:dyDescent="0.3">
      <c r="A5" s="8" t="s">
        <v>138</v>
      </c>
      <c r="B5" s="8" t="s">
        <v>139</v>
      </c>
      <c r="C5" s="8">
        <v>68</v>
      </c>
      <c r="D5" s="8">
        <v>74</v>
      </c>
      <c r="E5" s="8">
        <f>AVERAGE(C5:D5)</f>
        <v>71</v>
      </c>
    </row>
    <row r="6" spans="1:5" x14ac:dyDescent="0.3">
      <c r="A6" s="8" t="s">
        <v>140</v>
      </c>
      <c r="B6" s="8" t="s">
        <v>135</v>
      </c>
      <c r="C6" s="8">
        <v>58</v>
      </c>
      <c r="D6" s="8">
        <v>64</v>
      </c>
      <c r="E6" s="8">
        <f>AVERAGE(C6:D6)</f>
        <v>61</v>
      </c>
    </row>
    <row r="7" spans="1:5" x14ac:dyDescent="0.3">
      <c r="A7" s="8" t="s">
        <v>141</v>
      </c>
      <c r="B7" s="8" t="s">
        <v>139</v>
      </c>
      <c r="C7" s="8">
        <v>78</v>
      </c>
      <c r="D7" s="8">
        <v>82</v>
      </c>
      <c r="E7" s="8">
        <f>AVERAGE(C7:D7)</f>
        <v>80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H11"/>
  <sheetViews>
    <sheetView workbookViewId="0"/>
  </sheetViews>
  <sheetFormatPr defaultRowHeight="16.5" x14ac:dyDescent="0.3"/>
  <cols>
    <col min="1" max="1" width="7.125" bestFit="1" customWidth="1"/>
    <col min="2" max="2" width="11" bestFit="1" customWidth="1"/>
    <col min="3" max="3" width="6" customWidth="1"/>
    <col min="4" max="4" width="9.25" bestFit="1" customWidth="1"/>
    <col min="5" max="6" width="10.875" bestFit="1" customWidth="1"/>
    <col min="7" max="7" width="9.375" bestFit="1" customWidth="1"/>
    <col min="8" max="8" width="13" bestFit="1" customWidth="1"/>
  </cols>
  <sheetData>
    <row r="1" spans="1:8" x14ac:dyDescent="0.3">
      <c r="A1" s="15" t="s">
        <v>165</v>
      </c>
      <c r="B1" s="15" t="s">
        <v>47</v>
      </c>
      <c r="C1" s="15" t="s">
        <v>142</v>
      </c>
      <c r="D1" s="15" t="s">
        <v>143</v>
      </c>
      <c r="E1" s="15" t="s">
        <v>144</v>
      </c>
      <c r="F1" s="15" t="s">
        <v>145</v>
      </c>
      <c r="G1" s="15" t="s">
        <v>146</v>
      </c>
      <c r="H1" s="15" t="s">
        <v>147</v>
      </c>
    </row>
    <row r="2" spans="1:8" x14ac:dyDescent="0.3">
      <c r="A2" s="9" t="s">
        <v>148</v>
      </c>
      <c r="B2" s="9" t="s">
        <v>149</v>
      </c>
      <c r="C2" s="9" t="s">
        <v>150</v>
      </c>
      <c r="D2" s="9">
        <v>25</v>
      </c>
      <c r="E2" s="16">
        <v>6160000</v>
      </c>
      <c r="F2" s="16">
        <v>9856000</v>
      </c>
      <c r="G2" s="16">
        <v>308000</v>
      </c>
      <c r="H2" s="16">
        <v>161392000</v>
      </c>
    </row>
    <row r="3" spans="1:8" x14ac:dyDescent="0.3">
      <c r="A3" s="9" t="s">
        <v>151</v>
      </c>
      <c r="B3" s="9" t="s">
        <v>149</v>
      </c>
      <c r="C3" s="9" t="s">
        <v>152</v>
      </c>
      <c r="D3" s="9">
        <v>12</v>
      </c>
      <c r="E3" s="16">
        <v>4400000</v>
      </c>
      <c r="F3" s="16">
        <v>7040000</v>
      </c>
      <c r="G3" s="16">
        <v>88000</v>
      </c>
      <c r="H3" s="16">
        <v>28195200</v>
      </c>
    </row>
    <row r="4" spans="1:8" x14ac:dyDescent="0.3">
      <c r="A4" s="9" t="s">
        <v>153</v>
      </c>
      <c r="B4" s="9" t="s">
        <v>154</v>
      </c>
      <c r="C4" s="9" t="s">
        <v>150</v>
      </c>
      <c r="D4" s="9">
        <v>21</v>
      </c>
      <c r="E4" s="16">
        <v>6160000</v>
      </c>
      <c r="F4" s="16">
        <v>9856000</v>
      </c>
      <c r="G4" s="16">
        <v>308000</v>
      </c>
      <c r="H4" s="16">
        <v>6172000</v>
      </c>
    </row>
    <row r="5" spans="1:8" x14ac:dyDescent="0.3">
      <c r="A5" s="9" t="s">
        <v>155</v>
      </c>
      <c r="B5" s="9" t="s">
        <v>76</v>
      </c>
      <c r="C5" s="9" t="s">
        <v>156</v>
      </c>
      <c r="D5" s="9">
        <v>1</v>
      </c>
      <c r="E5" s="16">
        <v>3300000</v>
      </c>
      <c r="F5" s="16">
        <v>4400000</v>
      </c>
      <c r="G5" s="16">
        <v>44000</v>
      </c>
      <c r="H5" s="16">
        <v>0</v>
      </c>
    </row>
    <row r="6" spans="1:8" x14ac:dyDescent="0.3">
      <c r="A6" s="9" t="s">
        <v>157</v>
      </c>
      <c r="B6" s="9" t="s">
        <v>76</v>
      </c>
      <c r="C6" s="9" t="s">
        <v>158</v>
      </c>
      <c r="D6" s="9">
        <v>9</v>
      </c>
      <c r="E6" s="16">
        <v>3960000</v>
      </c>
      <c r="F6" s="16">
        <v>6336000</v>
      </c>
      <c r="G6" s="16">
        <v>79200</v>
      </c>
      <c r="H6" s="16">
        <v>20623680</v>
      </c>
    </row>
    <row r="7" spans="1:8" x14ac:dyDescent="0.3">
      <c r="A7" s="9" t="s">
        <v>159</v>
      </c>
      <c r="B7" s="9" t="s">
        <v>149</v>
      </c>
      <c r="C7" s="9" t="s">
        <v>152</v>
      </c>
      <c r="D7" s="9">
        <v>18</v>
      </c>
      <c r="E7" s="16">
        <v>4400000</v>
      </c>
      <c r="F7" s="16">
        <v>7040000</v>
      </c>
      <c r="G7" s="16">
        <v>88000</v>
      </c>
      <c r="H7" s="16">
        <v>38755200</v>
      </c>
    </row>
    <row r="8" spans="1:8" x14ac:dyDescent="0.3">
      <c r="A8" s="9" t="s">
        <v>160</v>
      </c>
      <c r="B8" s="9" t="s">
        <v>149</v>
      </c>
      <c r="C8" s="9" t="s">
        <v>161</v>
      </c>
      <c r="D8" s="9">
        <v>22</v>
      </c>
      <c r="E8" s="16">
        <v>5500000</v>
      </c>
      <c r="F8" s="16">
        <v>8800000</v>
      </c>
      <c r="G8" s="16">
        <v>275000</v>
      </c>
      <c r="H8" s="16">
        <v>57308000</v>
      </c>
    </row>
    <row r="9" spans="1:8" x14ac:dyDescent="0.3">
      <c r="A9" s="9" t="s">
        <v>162</v>
      </c>
      <c r="B9" s="9" t="s">
        <v>154</v>
      </c>
      <c r="C9" s="9" t="s">
        <v>158</v>
      </c>
      <c r="D9" s="9">
        <v>14</v>
      </c>
      <c r="E9" s="16">
        <v>3960000</v>
      </c>
      <c r="F9" s="16">
        <v>6336000</v>
      </c>
      <c r="G9" s="16">
        <v>79200</v>
      </c>
      <c r="H9" s="16">
        <v>28543680</v>
      </c>
    </row>
    <row r="10" spans="1:8" x14ac:dyDescent="0.3">
      <c r="A10" s="9" t="s">
        <v>163</v>
      </c>
      <c r="B10" s="9" t="s">
        <v>149</v>
      </c>
      <c r="C10" s="9" t="s">
        <v>156</v>
      </c>
      <c r="D10" s="9">
        <v>1</v>
      </c>
      <c r="E10" s="16">
        <v>3300000</v>
      </c>
      <c r="F10" s="16">
        <v>4400000</v>
      </c>
      <c r="G10" s="16">
        <v>44000</v>
      </c>
      <c r="H10" s="16">
        <v>0</v>
      </c>
    </row>
    <row r="11" spans="1:8" x14ac:dyDescent="0.3">
      <c r="A11" s="9" t="s">
        <v>164</v>
      </c>
      <c r="B11" s="9" t="s">
        <v>76</v>
      </c>
      <c r="C11" s="9" t="s">
        <v>158</v>
      </c>
      <c r="D11" s="9">
        <v>7</v>
      </c>
      <c r="E11" s="16">
        <v>3960000</v>
      </c>
      <c r="F11" s="16">
        <v>6336000</v>
      </c>
      <c r="G11" s="16">
        <v>79200</v>
      </c>
      <c r="H11" s="16">
        <v>17455680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H7"/>
  <sheetViews>
    <sheetView workbookViewId="0"/>
  </sheetViews>
  <sheetFormatPr defaultRowHeight="16.5" x14ac:dyDescent="0.3"/>
  <cols>
    <col min="2" max="2" width="15.125" bestFit="1" customWidth="1"/>
    <col min="7" max="7" width="15.125" bestFit="1" customWidth="1"/>
  </cols>
  <sheetData>
    <row r="1" spans="1:8" x14ac:dyDescent="0.3">
      <c r="A1" t="s">
        <v>166</v>
      </c>
    </row>
    <row r="3" spans="1:8" x14ac:dyDescent="0.3">
      <c r="A3" s="13" t="s">
        <v>178</v>
      </c>
      <c r="B3" s="13" t="s">
        <v>167</v>
      </c>
      <c r="C3" s="13" t="s">
        <v>168</v>
      </c>
      <c r="D3" s="13" t="s">
        <v>169</v>
      </c>
      <c r="G3" t="s">
        <v>167</v>
      </c>
      <c r="H3" t="s">
        <v>169</v>
      </c>
    </row>
    <row r="4" spans="1:8" x14ac:dyDescent="0.3">
      <c r="A4" t="s">
        <v>170</v>
      </c>
      <c r="B4" t="s">
        <v>171</v>
      </c>
      <c r="C4" t="s">
        <v>172</v>
      </c>
      <c r="D4">
        <v>5000</v>
      </c>
      <c r="G4" t="s">
        <v>171</v>
      </c>
      <c r="H4">
        <v>5000</v>
      </c>
    </row>
    <row r="5" spans="1:8" x14ac:dyDescent="0.3">
      <c r="A5" t="s">
        <v>173</v>
      </c>
      <c r="B5" t="s">
        <v>171</v>
      </c>
      <c r="C5" t="s">
        <v>174</v>
      </c>
      <c r="D5">
        <v>5000</v>
      </c>
      <c r="G5" t="s">
        <v>175</v>
      </c>
      <c r="H5">
        <v>6000</v>
      </c>
    </row>
    <row r="6" spans="1:8" x14ac:dyDescent="0.3">
      <c r="A6" t="s">
        <v>176</v>
      </c>
      <c r="B6" t="s">
        <v>175</v>
      </c>
      <c r="C6" t="s">
        <v>174</v>
      </c>
      <c r="D6">
        <v>6000</v>
      </c>
    </row>
    <row r="7" spans="1:8" x14ac:dyDescent="0.3">
      <c r="A7" t="s">
        <v>177</v>
      </c>
      <c r="B7" t="s">
        <v>175</v>
      </c>
      <c r="C7" t="s">
        <v>172</v>
      </c>
      <c r="D7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원서접수">
          <controlPr defaultSize="0" autoLine="0" r:id="rId4">
            <anchor moveWithCells="1">
              <from>
                <xdr:col>4</xdr:col>
                <xdr:colOff>28575</xdr:colOff>
                <xdr:row>0</xdr:row>
                <xdr:rowOff>66675</xdr:rowOff>
              </from>
              <to>
                <xdr:col>5</xdr:col>
                <xdr:colOff>466725</xdr:colOff>
                <xdr:row>1</xdr:row>
                <xdr:rowOff>142875</xdr:rowOff>
              </to>
            </anchor>
          </controlPr>
        </control>
      </mc:Choice>
      <mc:Fallback>
        <control shapeId="2049" r:id="rId3" name="cmd원서접수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2023-10-05T14:57:24Z</dcterms:modified>
</cp:coreProperties>
</file>