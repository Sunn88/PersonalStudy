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36545BF-311F-4A55-AF75-BB3D1948B308}" xr6:coauthVersionLast="47" xr6:coauthVersionMax="47" xr10:uidLastSave="{00000000-0000-0000-0000-000000000000}"/>
  <bookViews>
    <workbookView xWindow="-120" yWindow="-120" windowWidth="29040" windowHeight="15840" xr2:uid="{8152501C-7DBB-4F6E-9328-14CC21E7619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 a="1"/>
  <c r="E4" i="2" s="1"/>
  <c r="D4" i="2" a="1"/>
  <c r="D4" i="2" s="1"/>
  <c r="C4" i="2" a="1"/>
  <c r="C4" i="2" s="1"/>
  <c r="E3" i="2" a="1"/>
  <c r="E3" i="2" s="1"/>
  <c r="D3" i="2" a="1"/>
  <c r="D3" i="2" s="1"/>
  <c r="C3" i="2" a="1"/>
  <c r="C3" i="2" s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<sst xmlns="http://schemas.openxmlformats.org/spreadsheetml/2006/main" count="47" uniqueCount="22">
  <si>
    <t>날짜에서 월만 추출하기</t>
  </si>
  <si>
    <t>날짜</t>
  </si>
  <si>
    <t>월</t>
  </si>
  <si>
    <t>10세 대상의  게임명별 월별매출액의 합계</t>
  </si>
  <si>
    <t>게임명</t>
  </si>
  <si>
    <t>카드게임</t>
  </si>
  <si>
    <t>크래지</t>
  </si>
  <si>
    <t>게임코드</t>
  </si>
  <si>
    <t>대상</t>
  </si>
  <si>
    <t>판매일자</t>
  </si>
  <si>
    <t>수량</t>
  </si>
  <si>
    <t>매출액</t>
  </si>
  <si>
    <t>A-01</t>
  </si>
  <si>
    <t>18세</t>
  </si>
  <si>
    <t>G-02</t>
  </si>
  <si>
    <t>10세</t>
  </si>
  <si>
    <t>G-03</t>
  </si>
  <si>
    <t>G-07</t>
  </si>
  <si>
    <t>A-07</t>
  </si>
  <si>
    <t>G-04</t>
  </si>
  <si>
    <t>G-06</t>
  </si>
  <si>
    <t>2024-09-31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</si>
</sst>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yy&quot;/&quot;m&quot;/&quot;d;@"/>
    <numFmt numFmtId="177" formatCode="yyyy\/mm\/dd\ h:mm"/>
    <numFmt numFmtId="178" formatCode="#&quot;월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31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2" fillId="0" borderId="8" xfId="0" applyFont="1" applyBorder="1" applyAlignment="1">
      <alignment horizontal="center" vertical="center"/>
    </xf>
    <xf numFmtId="178" fontId="2" fillId="2" borderId="8" xfId="0" applyNumberFormat="1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4" fontId="0" fillId="0" borderId="8" xfId="0" applyNumberFormat="1" applyBorder="1">
      <alignment vertical="center"/>
    </xf>
    <xf numFmtId="41" fontId="0" fillId="0" borderId="8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651DD-6E52-4400-82DA-028FFFCCE1B5}">
  <dimension ref="A1:B9"/>
  <sheetViews>
    <sheetView tabSelected="1" workbookViewId="0">
      <selection activeCell="F20" sqref="F20"/>
    </sheetView>
  </sheetViews>
  <sheetFormatPr defaultRowHeight="16.5" x14ac:dyDescent="0.3"/>
  <cols>
    <col min="1" max="1" width="22.75" bestFit="1" customWidth="1"/>
  </cols>
  <sheetData>
    <row r="1" spans="1:2" x14ac:dyDescent="0.3">
      <c r="A1" s="16" t="s">
        <v>0</v>
      </c>
      <c r="B1" s="16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45552</v>
      </c>
      <c r="B4" s="4">
        <f t="shared" ref="B4:B9" si="0">MONTH(A4)</f>
        <v>9</v>
      </c>
    </row>
    <row r="5" spans="1:2" x14ac:dyDescent="0.3">
      <c r="A5" s="5">
        <v>45552</v>
      </c>
      <c r="B5" s="4">
        <f t="shared" si="0"/>
        <v>9</v>
      </c>
    </row>
    <row r="6" spans="1:2" x14ac:dyDescent="0.3">
      <c r="A6" s="6">
        <v>45552</v>
      </c>
      <c r="B6" s="4">
        <f t="shared" si="0"/>
        <v>9</v>
      </c>
    </row>
    <row r="7" spans="1:2" x14ac:dyDescent="0.3">
      <c r="A7" s="7">
        <v>45552</v>
      </c>
      <c r="B7" s="4">
        <f t="shared" si="0"/>
        <v>9</v>
      </c>
    </row>
    <row r="8" spans="1:2" x14ac:dyDescent="0.3">
      <c r="A8" s="8">
        <v>45552</v>
      </c>
      <c r="B8" s="4">
        <f t="shared" si="0"/>
        <v>9</v>
      </c>
    </row>
    <row r="9" spans="1:2" ht="17.25" thickBot="1" x14ac:dyDescent="0.35">
      <c r="A9" s="9" t="s">
        <v>21</v>
      </c>
      <c r="B9" s="10" t="e">
        <f t="shared" si="0"/>
        <v>#VALUE!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78A2-0786-482D-9A0E-B13E00F52D5C}">
  <dimension ref="B1:G17"/>
  <sheetViews>
    <sheetView workbookViewId="0">
      <selection activeCell="C22" sqref="C22"/>
    </sheetView>
  </sheetViews>
  <sheetFormatPr defaultRowHeight="16.5" x14ac:dyDescent="0.3"/>
  <cols>
    <col min="1" max="1" width="1.625" customWidth="1"/>
    <col min="3" max="5" width="11.375" customWidth="1"/>
    <col min="7" max="7" width="10.5" customWidth="1"/>
  </cols>
  <sheetData>
    <row r="1" spans="2:7" x14ac:dyDescent="0.3">
      <c r="B1" s="17" t="s">
        <v>3</v>
      </c>
      <c r="C1" s="17"/>
      <c r="D1" s="17"/>
      <c r="E1" s="17"/>
    </row>
    <row r="2" spans="2:7" x14ac:dyDescent="0.3">
      <c r="B2" s="11" t="s">
        <v>4</v>
      </c>
      <c r="C2" s="12">
        <v>4</v>
      </c>
      <c r="D2" s="12">
        <v>5</v>
      </c>
      <c r="E2" s="12">
        <v>6</v>
      </c>
    </row>
    <row r="3" spans="2:7" x14ac:dyDescent="0.3">
      <c r="B3" s="11" t="s">
        <v>5</v>
      </c>
      <c r="C3" s="13">
        <f t="array" ref="C3">SUM(($C$7:$C$17=$B3)*(MONTH($E$7:$E$17)=C$2)*($D$7:$D$17="10세")*$G$7:$G$17)</f>
        <v>0</v>
      </c>
      <c r="D3" s="13">
        <f t="array" ref="D3">SUM(($C$7:$C$17=$B3)*(MONTH($E$7:$E$17)=D$2)*($D$7:$D$17="10세")*$G$7:$G$17)</f>
        <v>331500</v>
      </c>
      <c r="E3" s="13">
        <f t="array" ref="E3">SUM(($C$7:$C$17=$B3)*(MONTH($E$7:$E$17)=E$2)*($D$7:$D$17="10세")*$G$7:$G$17)</f>
        <v>0</v>
      </c>
    </row>
    <row r="4" spans="2:7" x14ac:dyDescent="0.3">
      <c r="B4" s="11" t="s">
        <v>6</v>
      </c>
      <c r="C4" s="13">
        <f t="array" ref="C4">SUM(($C$7:$C$17=$B4)*(MONTH($E$7:$E$17)=C$2)*($D$7:$D$17="10세")*$G$7:$G$17)</f>
        <v>187000</v>
      </c>
      <c r="D4" s="13">
        <f t="array" ref="D4">SUM(($C$7:$C$17=$B4)*(MONTH($E$7:$E$17)=D$2)*($D$7:$D$17="10세")*$G$7:$G$17)</f>
        <v>52500</v>
      </c>
      <c r="E4" s="13">
        <f t="array" ref="E4">SUM(($C$7:$C$17=$B4)*(MONTH($E$7:$E$17)=E$2)*($D$7:$D$17="10세")*$G$7:$G$17)</f>
        <v>281200</v>
      </c>
    </row>
    <row r="6" spans="2:7" x14ac:dyDescent="0.3">
      <c r="B6" s="11" t="s">
        <v>7</v>
      </c>
      <c r="C6" s="11" t="s">
        <v>4</v>
      </c>
      <c r="D6" s="11" t="s">
        <v>8</v>
      </c>
      <c r="E6" s="11" t="s">
        <v>9</v>
      </c>
      <c r="F6" s="11" t="s">
        <v>10</v>
      </c>
      <c r="G6" s="11" t="s">
        <v>11</v>
      </c>
    </row>
    <row r="7" spans="2:7" x14ac:dyDescent="0.3">
      <c r="B7" s="13" t="s">
        <v>12</v>
      </c>
      <c r="C7" s="13" t="s">
        <v>5</v>
      </c>
      <c r="D7" s="13" t="s">
        <v>13</v>
      </c>
      <c r="E7" s="14">
        <v>45025</v>
      </c>
      <c r="F7" s="13">
        <v>124</v>
      </c>
      <c r="G7" s="15">
        <v>45112</v>
      </c>
    </row>
    <row r="8" spans="2:7" x14ac:dyDescent="0.3">
      <c r="B8" s="13" t="s">
        <v>14</v>
      </c>
      <c r="C8" s="13" t="s">
        <v>6</v>
      </c>
      <c r="D8" s="13" t="s">
        <v>15</v>
      </c>
      <c r="E8" s="14">
        <v>45021</v>
      </c>
      <c r="F8" s="13">
        <v>142</v>
      </c>
      <c r="G8" s="15">
        <v>187000</v>
      </c>
    </row>
    <row r="9" spans="2:7" x14ac:dyDescent="0.3">
      <c r="B9" s="13" t="s">
        <v>14</v>
      </c>
      <c r="C9" s="13" t="s">
        <v>5</v>
      </c>
      <c r="D9" s="13" t="s">
        <v>15</v>
      </c>
      <c r="E9" s="14">
        <v>45054</v>
      </c>
      <c r="F9" s="13">
        <v>235</v>
      </c>
      <c r="G9" s="15">
        <v>153000</v>
      </c>
    </row>
    <row r="10" spans="2:7" x14ac:dyDescent="0.3">
      <c r="B10" s="13" t="s">
        <v>16</v>
      </c>
      <c r="C10" s="13" t="s">
        <v>6</v>
      </c>
      <c r="D10" s="13" t="s">
        <v>13</v>
      </c>
      <c r="E10" s="14">
        <v>45051</v>
      </c>
      <c r="F10" s="13">
        <v>88</v>
      </c>
      <c r="G10" s="15">
        <v>208500</v>
      </c>
    </row>
    <row r="11" spans="2:7" x14ac:dyDescent="0.3">
      <c r="B11" s="13" t="s">
        <v>12</v>
      </c>
      <c r="C11" s="13" t="s">
        <v>5</v>
      </c>
      <c r="D11" s="13" t="s">
        <v>13</v>
      </c>
      <c r="E11" s="14">
        <v>45078</v>
      </c>
      <c r="F11" s="13">
        <v>269</v>
      </c>
      <c r="G11" s="15">
        <v>90224</v>
      </c>
    </row>
    <row r="12" spans="2:7" x14ac:dyDescent="0.3">
      <c r="B12" s="13" t="s">
        <v>17</v>
      </c>
      <c r="C12" s="13" t="s">
        <v>6</v>
      </c>
      <c r="D12" s="13" t="s">
        <v>15</v>
      </c>
      <c r="E12" s="14">
        <v>45084</v>
      </c>
      <c r="F12" s="13">
        <v>131</v>
      </c>
      <c r="G12" s="15">
        <v>211200</v>
      </c>
    </row>
    <row r="13" spans="2:7" x14ac:dyDescent="0.3">
      <c r="B13" s="13" t="s">
        <v>18</v>
      </c>
      <c r="C13" s="13" t="s">
        <v>5</v>
      </c>
      <c r="D13" s="13" t="s">
        <v>13</v>
      </c>
      <c r="E13" s="14">
        <v>45025</v>
      </c>
      <c r="F13" s="13">
        <v>15</v>
      </c>
      <c r="G13" s="15">
        <v>288000</v>
      </c>
    </row>
    <row r="14" spans="2:7" x14ac:dyDescent="0.3">
      <c r="B14" s="13" t="s">
        <v>18</v>
      </c>
      <c r="C14" s="13" t="s">
        <v>6</v>
      </c>
      <c r="D14" s="13" t="s">
        <v>13</v>
      </c>
      <c r="E14" s="14">
        <v>45028</v>
      </c>
      <c r="F14" s="13">
        <v>122</v>
      </c>
      <c r="G14" s="15">
        <v>38400</v>
      </c>
    </row>
    <row r="15" spans="2:7" x14ac:dyDescent="0.3">
      <c r="B15" s="13" t="s">
        <v>19</v>
      </c>
      <c r="C15" s="13" t="s">
        <v>6</v>
      </c>
      <c r="D15" s="13" t="s">
        <v>15</v>
      </c>
      <c r="E15" s="14">
        <v>45048</v>
      </c>
      <c r="F15" s="13">
        <v>268</v>
      </c>
      <c r="G15" s="15">
        <v>52500</v>
      </c>
    </row>
    <row r="16" spans="2:7" x14ac:dyDescent="0.3">
      <c r="B16" s="13" t="s">
        <v>20</v>
      </c>
      <c r="C16" s="13" t="s">
        <v>5</v>
      </c>
      <c r="D16" s="13" t="s">
        <v>15</v>
      </c>
      <c r="E16" s="14">
        <v>45055</v>
      </c>
      <c r="F16" s="13">
        <v>141</v>
      </c>
      <c r="G16" s="15">
        <v>178500</v>
      </c>
    </row>
    <row r="17" spans="2:7" x14ac:dyDescent="0.3">
      <c r="B17" s="13" t="s">
        <v>19</v>
      </c>
      <c r="C17" s="13" t="s">
        <v>6</v>
      </c>
      <c r="D17" s="13" t="s">
        <v>15</v>
      </c>
      <c r="E17" s="14">
        <v>45088</v>
      </c>
      <c r="F17" s="13">
        <v>227</v>
      </c>
      <c r="G17" s="15">
        <v>70000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2023-05-12T09:30:58Z</dcterms:created>
  <dcterms:modified xsi:type="dcterms:W3CDTF">2024-08-09T07:42:56Z</dcterms:modified>
</cp:coreProperties>
</file>