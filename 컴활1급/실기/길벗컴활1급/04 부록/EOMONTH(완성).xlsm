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2FEF4EA6-D4C5-495D-BC81-C0FA1BBF131E}" xr6:coauthVersionLast="47" xr6:coauthVersionMax="47" xr10:uidLastSave="{00000000-0000-0000-0000-000000000000}"/>
  <bookViews>
    <workbookView xWindow="1950" yWindow="1950" windowWidth="17595" windowHeight="13455" xr2:uid="{E827AA95-636E-4E5B-A1CD-BF85F110503B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2" l="1"/>
  <c r="C4" i="1" l="1"/>
  <c r="C5" i="1"/>
  <c r="C6" i="1"/>
  <c r="C7" i="1"/>
  <c r="C8" i="1"/>
  <c r="C9" i="1"/>
</calcChain>
</file>

<file path=xl/sharedStrings.xml><?xml version="1.0" encoding="utf-8"?>
<sst xmlns="http://schemas.openxmlformats.org/spreadsheetml/2006/main" count="25" uniqueCount="20">
  <si>
    <t>날짜</t>
  </si>
  <si>
    <t>전/후 개월 수</t>
  </si>
  <si>
    <t>일련번호</t>
  </si>
  <si>
    <t>전/후 달 마지막 날짜의 일련번호 구하기</t>
    <phoneticPr fontId="2" type="noConversion"/>
  </si>
  <si>
    <t>[표1]</t>
    <phoneticPr fontId="2" type="noConversion"/>
  </si>
  <si>
    <t>처방번호</t>
    <phoneticPr fontId="2" type="noConversion"/>
  </si>
  <si>
    <t>성별</t>
    <phoneticPr fontId="2" type="noConversion"/>
  </si>
  <si>
    <t>요양개시일자</t>
    <phoneticPr fontId="2" type="noConversion"/>
  </si>
  <si>
    <t>총투여일수</t>
    <phoneticPr fontId="2" type="noConversion"/>
  </si>
  <si>
    <t>첫 요양개시 월의 
여성 처방건수</t>
    <phoneticPr fontId="2" type="noConversion"/>
  </si>
  <si>
    <t>여성</t>
    <phoneticPr fontId="2" type="noConversion"/>
  </si>
  <si>
    <t>남성</t>
    <phoneticPr fontId="2" type="noConversion"/>
  </si>
  <si>
    <t>453555-1</t>
  </si>
  <si>
    <t>239850-1</t>
  </si>
  <si>
    <t>239850-2</t>
  </si>
  <si>
    <t>145694-1</t>
  </si>
  <si>
    <t>145694-2</t>
  </si>
  <si>
    <t>145694-3</t>
  </si>
  <si>
    <t>145694-4</t>
  </si>
  <si>
    <t>2024-09-31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</si>
</sst>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_-* #,##0.0_-;\-* #,##0.0_-;_-* &quot;-&quot;?_-;_-@_-"/>
  </numFmts>
  <fonts count="4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>
      <alignment vertical="center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76" fontId="3" fillId="0" borderId="5" xfId="0" applyNumberFormat="1" applyFont="1" applyBorder="1">
      <alignment vertical="center"/>
    </xf>
    <xf numFmtId="177" fontId="0" fillId="0" borderId="0" xfId="0" applyNumberFormat="1">
      <alignment vertical="center"/>
    </xf>
    <xf numFmtId="0" fontId="3" fillId="0" borderId="5" xfId="0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1" fillId="0" borderId="0" xfId="0" applyFont="1" applyAlignment="1">
      <alignment horizontal="center" vertical="center"/>
    </xf>
    <xf numFmtId="0" fontId="0" fillId="2" borderId="5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9D253-48FC-4772-89A5-3ABDC613B860}">
  <dimension ref="A1:C9"/>
  <sheetViews>
    <sheetView tabSelected="1" workbookViewId="0">
      <selection activeCell="G15" sqref="G15"/>
    </sheetView>
  </sheetViews>
  <sheetFormatPr defaultRowHeight="16.5" x14ac:dyDescent="0.3"/>
  <cols>
    <col min="1" max="1" width="12.375" customWidth="1"/>
    <col min="2" max="2" width="13.125" bestFit="1" customWidth="1"/>
    <col min="3" max="3" width="10.625" customWidth="1"/>
  </cols>
  <sheetData>
    <row r="1" spans="1:3" x14ac:dyDescent="0.3">
      <c r="A1" s="16" t="s">
        <v>3</v>
      </c>
      <c r="B1" s="16"/>
      <c r="C1" s="16"/>
    </row>
    <row r="2" spans="1:3" ht="17.25" thickBot="1" x14ac:dyDescent="0.35"/>
    <row r="3" spans="1:3" x14ac:dyDescent="0.3">
      <c r="A3" s="1" t="s">
        <v>0</v>
      </c>
      <c r="B3" s="2" t="s">
        <v>1</v>
      </c>
      <c r="C3" s="3" t="s">
        <v>2</v>
      </c>
    </row>
    <row r="4" spans="1:3" x14ac:dyDescent="0.3">
      <c r="A4" s="4">
        <v>45524</v>
      </c>
      <c r="B4" s="5">
        <v>-3</v>
      </c>
      <c r="C4" s="6">
        <f t="shared" ref="C4:C9" si="0">EOMONTH(A4, B4)</f>
        <v>45443</v>
      </c>
    </row>
    <row r="5" spans="1:3" x14ac:dyDescent="0.3">
      <c r="A5" s="4">
        <v>45627</v>
      </c>
      <c r="B5" s="5">
        <v>-2</v>
      </c>
      <c r="C5" s="6">
        <f t="shared" si="0"/>
        <v>45596</v>
      </c>
    </row>
    <row r="6" spans="1:3" x14ac:dyDescent="0.3">
      <c r="A6" s="4">
        <v>45498</v>
      </c>
      <c r="B6" s="5">
        <v>-1</v>
      </c>
      <c r="C6" s="6">
        <f t="shared" si="0"/>
        <v>45473</v>
      </c>
    </row>
    <row r="7" spans="1:3" x14ac:dyDescent="0.3">
      <c r="A7" s="4">
        <v>45527</v>
      </c>
      <c r="B7" s="5">
        <v>1</v>
      </c>
      <c r="C7" s="6">
        <f t="shared" si="0"/>
        <v>45565</v>
      </c>
    </row>
    <row r="8" spans="1:3" x14ac:dyDescent="0.3">
      <c r="A8" s="4">
        <v>45464</v>
      </c>
      <c r="B8" s="5">
        <v>2</v>
      </c>
      <c r="C8" s="6">
        <f t="shared" si="0"/>
        <v>45535</v>
      </c>
    </row>
    <row r="9" spans="1:3" ht="17.25" thickBot="1" x14ac:dyDescent="0.35">
      <c r="A9" s="7" t="s">
        <v>19</v>
      </c>
      <c r="B9" s="8">
        <v>3</v>
      </c>
      <c r="C9" s="9" t="e">
        <f t="shared" si="0"/>
        <v>#VALUE!</v>
      </c>
    </row>
  </sheetData>
  <mergeCells count="1">
    <mergeCell ref="A1:C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0BE27-DBA7-40DC-8047-28900CA09D45}">
  <dimension ref="A1:F9"/>
  <sheetViews>
    <sheetView workbookViewId="0">
      <selection activeCell="F10" sqref="F10"/>
    </sheetView>
  </sheetViews>
  <sheetFormatPr defaultRowHeight="16.5" x14ac:dyDescent="0.3"/>
  <cols>
    <col min="2" max="2" width="5.25" bestFit="1" customWidth="1"/>
    <col min="3" max="3" width="12.625" customWidth="1"/>
    <col min="4" max="4" width="10.5" customWidth="1"/>
    <col min="5" max="5" width="1.75" customWidth="1"/>
    <col min="6" max="6" width="15.25" customWidth="1"/>
  </cols>
  <sheetData>
    <row r="1" spans="1:6" x14ac:dyDescent="0.3">
      <c r="A1" t="s">
        <v>4</v>
      </c>
    </row>
    <row r="2" spans="1:6" x14ac:dyDescent="0.3">
      <c r="A2" s="14" t="s">
        <v>5</v>
      </c>
      <c r="B2" s="10" t="s">
        <v>6</v>
      </c>
      <c r="C2" s="10" t="s">
        <v>7</v>
      </c>
      <c r="D2" s="10" t="s">
        <v>8</v>
      </c>
      <c r="F2" s="17" t="s">
        <v>9</v>
      </c>
    </row>
    <row r="3" spans="1:6" x14ac:dyDescent="0.3">
      <c r="A3" s="10" t="s">
        <v>15</v>
      </c>
      <c r="B3" s="10" t="s">
        <v>10</v>
      </c>
      <c r="C3" s="11">
        <v>45390</v>
      </c>
      <c r="D3" s="12">
        <v>1</v>
      </c>
      <c r="E3" s="13"/>
      <c r="F3" s="18"/>
    </row>
    <row r="4" spans="1:6" x14ac:dyDescent="0.3">
      <c r="A4" s="10" t="s">
        <v>16</v>
      </c>
      <c r="B4" s="10" t="s">
        <v>11</v>
      </c>
      <c r="C4" s="11">
        <v>45430</v>
      </c>
      <c r="D4" s="12">
        <v>5</v>
      </c>
      <c r="E4" s="13"/>
      <c r="F4" s="15">
        <f>COUNTIFS(C3:C9,"&lt;="&amp;EOMONTH(MIN(C3:C9),0),B3:B9,"여성")</f>
        <v>2</v>
      </c>
    </row>
    <row r="5" spans="1:6" x14ac:dyDescent="0.3">
      <c r="A5" s="10" t="s">
        <v>12</v>
      </c>
      <c r="B5" s="10" t="s">
        <v>10</v>
      </c>
      <c r="C5" s="11">
        <v>45296</v>
      </c>
      <c r="D5" s="12">
        <v>5</v>
      </c>
    </row>
    <row r="6" spans="1:6" x14ac:dyDescent="0.3">
      <c r="A6" s="10" t="s">
        <v>17</v>
      </c>
      <c r="B6" s="10" t="s">
        <v>10</v>
      </c>
      <c r="C6" s="11">
        <v>45445</v>
      </c>
      <c r="D6" s="12">
        <v>4</v>
      </c>
      <c r="E6" s="13"/>
    </row>
    <row r="7" spans="1:6" x14ac:dyDescent="0.3">
      <c r="A7" s="10" t="s">
        <v>18</v>
      </c>
      <c r="B7" s="10" t="s">
        <v>11</v>
      </c>
      <c r="C7" s="11">
        <v>45303</v>
      </c>
      <c r="D7" s="12">
        <v>2</v>
      </c>
      <c r="E7" s="13"/>
    </row>
    <row r="8" spans="1:6" x14ac:dyDescent="0.3">
      <c r="A8" s="10" t="s">
        <v>13</v>
      </c>
      <c r="B8" s="10" t="s">
        <v>10</v>
      </c>
      <c r="C8" s="11">
        <v>45300</v>
      </c>
      <c r="D8" s="12">
        <v>5</v>
      </c>
      <c r="E8" s="13"/>
    </row>
    <row r="9" spans="1:6" x14ac:dyDescent="0.3">
      <c r="A9" s="10" t="s">
        <v>14</v>
      </c>
      <c r="B9" s="10" t="s">
        <v>10</v>
      </c>
      <c r="C9" s="11">
        <v>45327</v>
      </c>
      <c r="D9" s="12">
        <v>2</v>
      </c>
      <c r="E9" s="13"/>
    </row>
  </sheetData>
  <sortState xmlns:xlrd2="http://schemas.microsoft.com/office/spreadsheetml/2017/richdata2" ref="A3:D9">
    <sortCondition ref="A3:A9"/>
  </sortState>
  <mergeCells count="1">
    <mergeCell ref="F2:F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2023-05-12T08:50:46Z</dcterms:created>
  <dcterms:modified xsi:type="dcterms:W3CDTF">2024-08-09T07:55:17Z</dcterms:modified>
</cp:coreProperties>
</file>