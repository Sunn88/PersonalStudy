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9F5DC12B-61E8-452D-91BD-2ABE0A3ED4F3}" xr6:coauthVersionLast="47" xr6:coauthVersionMax="47" xr10:uidLastSave="{00000000-0000-0000-0000-000000000000}"/>
  <bookViews>
    <workbookView xWindow="30570" yWindow="1770" windowWidth="19200" windowHeight="12525" xr2:uid="{95DF8AD7-9F7A-4231-8CDF-A1E7CCED68D3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1" l="1"/>
  <c r="G5" i="1"/>
  <c r="H4" i="1"/>
  <c r="G4" i="1"/>
  <c r="H3" i="2"/>
  <c r="H4" i="2"/>
  <c r="H5" i="2"/>
  <c r="G4" i="2"/>
  <c r="G5" i="2"/>
  <c r="G3" i="2"/>
</calcChain>
</file>

<file path=xl/sharedStrings.xml><?xml version="1.0" encoding="utf-8"?>
<sst xmlns="http://schemas.openxmlformats.org/spreadsheetml/2006/main" count="70" uniqueCount="37">
  <si>
    <t>기본급 지급 현황</t>
  </si>
  <si>
    <t>부서별 직급별 기본급의 합계</t>
  </si>
  <si>
    <t>성명</t>
  </si>
  <si>
    <t>부서</t>
  </si>
  <si>
    <t>직급</t>
  </si>
  <si>
    <t>기본급</t>
  </si>
  <si>
    <t>1급</t>
  </si>
  <si>
    <t>2급</t>
  </si>
  <si>
    <t>이승연</t>
  </si>
  <si>
    <t>판매부</t>
  </si>
  <si>
    <t>김경수</t>
  </si>
  <si>
    <t>기획부</t>
  </si>
  <si>
    <t>이학봉</t>
  </si>
  <si>
    <t>지순녀</t>
  </si>
  <si>
    <t>김지연</t>
  </si>
  <si>
    <t>박원래</t>
  </si>
  <si>
    <t>최지은</t>
  </si>
  <si>
    <t>강유라</t>
  </si>
  <si>
    <t xml:space="preserve">        직급_x000D_
부서</t>
    <phoneticPr fontId="3" type="noConversion"/>
  </si>
  <si>
    <t>제품명</t>
  </si>
  <si>
    <t>구분</t>
  </si>
  <si>
    <t>브랜드명</t>
  </si>
  <si>
    <t>판매량</t>
  </si>
  <si>
    <t>구분별 브랜드별 판매량 합계</t>
  </si>
  <si>
    <t>홍삼타브렛90g_분말제품</t>
  </si>
  <si>
    <t>기능성</t>
  </si>
  <si>
    <t>홍삼나라</t>
  </si>
  <si>
    <t>홍삼세계</t>
  </si>
  <si>
    <t>홍삼정100g</t>
  </si>
  <si>
    <t>농축액</t>
  </si>
  <si>
    <t>홍삼양갱800g</t>
  </si>
  <si>
    <t>기호식품</t>
  </si>
  <si>
    <t>홍삼정240g</t>
  </si>
  <si>
    <t>홍삼정환_분말제품</t>
  </si>
  <si>
    <t>홍삼정_액상제품</t>
  </si>
  <si>
    <t>발효홍삼K_액상제품</t>
  </si>
  <si>
    <t>봉밀절편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</si>
</sst>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_);[Red]\(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 wrapText="1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1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C7319-7798-4C96-B8E6-9D817D0BA7AD}">
  <dimension ref="A1:H11"/>
  <sheetViews>
    <sheetView tabSelected="1" workbookViewId="0">
      <selection sqref="A1:D1"/>
    </sheetView>
  </sheetViews>
  <sheetFormatPr defaultRowHeight="16.5" x14ac:dyDescent="0.3"/>
  <cols>
    <col min="1" max="1" width="7.75" customWidth="1"/>
    <col min="2" max="2" width="7.125" bestFit="1" customWidth="1"/>
    <col min="3" max="3" width="5.625" customWidth="1"/>
    <col min="4" max="4" width="10.875" bestFit="1" customWidth="1"/>
    <col min="5" max="5" width="1.625" customWidth="1"/>
    <col min="6" max="6" width="9.625" customWidth="1"/>
    <col min="7" max="8" width="10.875" bestFit="1" customWidth="1"/>
  </cols>
  <sheetData>
    <row r="1" spans="1:8" x14ac:dyDescent="0.3">
      <c r="A1" s="6" t="s">
        <v>0</v>
      </c>
      <c r="B1" s="6"/>
      <c r="C1" s="6"/>
      <c r="D1" s="6"/>
      <c r="F1" s="6" t="s">
        <v>1</v>
      </c>
      <c r="G1" s="6"/>
      <c r="H1" s="6"/>
    </row>
    <row r="3" spans="1:8" ht="33" x14ac:dyDescent="0.3">
      <c r="A3" s="1" t="s">
        <v>2</v>
      </c>
      <c r="B3" s="1" t="s">
        <v>3</v>
      </c>
      <c r="C3" s="1" t="s">
        <v>4</v>
      </c>
      <c r="D3" s="1" t="s">
        <v>5</v>
      </c>
      <c r="F3" s="2" t="s">
        <v>18</v>
      </c>
      <c r="G3" s="3" t="s">
        <v>6</v>
      </c>
      <c r="H3" s="3" t="s">
        <v>7</v>
      </c>
    </row>
    <row r="4" spans="1:8" x14ac:dyDescent="0.3">
      <c r="A4" s="1" t="s">
        <v>8</v>
      </c>
      <c r="B4" s="1" t="s">
        <v>9</v>
      </c>
      <c r="C4" s="1" t="s">
        <v>6</v>
      </c>
      <c r="D4" s="4">
        <v>1450000</v>
      </c>
      <c r="F4" s="1" t="s">
        <v>9</v>
      </c>
      <c r="G4" s="4">
        <f>SUMIFS(D4:D11,B4:B11,"판매부",C4:C11,"1급")</f>
        <v>2900000</v>
      </c>
      <c r="H4" s="4">
        <f>SUMIFS(D4:D11,B4:B11,"판매부",C4:C11,"2급")</f>
        <v>2650000</v>
      </c>
    </row>
    <row r="5" spans="1:8" x14ac:dyDescent="0.3">
      <c r="A5" s="1" t="s">
        <v>10</v>
      </c>
      <c r="B5" s="1" t="s">
        <v>11</v>
      </c>
      <c r="C5" s="1" t="s">
        <v>7</v>
      </c>
      <c r="D5" s="4">
        <v>1350000</v>
      </c>
      <c r="F5" s="1" t="s">
        <v>11</v>
      </c>
      <c r="G5" s="4">
        <f>SUMIFS(D4:D11,B4:B11,"기획부",C4:C11,"1급")</f>
        <v>2650000</v>
      </c>
      <c r="H5" s="4">
        <f>SUMIFS(D4:D11,B4:B11,"기획부",C4:C11,"2급")</f>
        <v>2550000</v>
      </c>
    </row>
    <row r="6" spans="1:8" x14ac:dyDescent="0.3">
      <c r="A6" s="1" t="s">
        <v>12</v>
      </c>
      <c r="B6" s="1" t="s">
        <v>9</v>
      </c>
      <c r="C6" s="1" t="s">
        <v>7</v>
      </c>
      <c r="D6" s="4">
        <v>1350000</v>
      </c>
    </row>
    <row r="7" spans="1:8" x14ac:dyDescent="0.3">
      <c r="A7" s="1" t="s">
        <v>13</v>
      </c>
      <c r="B7" s="1" t="s">
        <v>11</v>
      </c>
      <c r="C7" s="1" t="s">
        <v>7</v>
      </c>
      <c r="D7" s="4">
        <v>1200000</v>
      </c>
    </row>
    <row r="8" spans="1:8" x14ac:dyDescent="0.3">
      <c r="A8" s="1" t="s">
        <v>14</v>
      </c>
      <c r="B8" s="1" t="s">
        <v>9</v>
      </c>
      <c r="C8" s="1" t="s">
        <v>6</v>
      </c>
      <c r="D8" s="4">
        <v>1450000</v>
      </c>
    </row>
    <row r="9" spans="1:8" x14ac:dyDescent="0.3">
      <c r="A9" s="1" t="s">
        <v>15</v>
      </c>
      <c r="B9" s="1" t="s">
        <v>11</v>
      </c>
      <c r="C9" s="1" t="s">
        <v>6</v>
      </c>
      <c r="D9" s="4">
        <v>1450000</v>
      </c>
    </row>
    <row r="10" spans="1:8" x14ac:dyDescent="0.3">
      <c r="A10" s="1" t="s">
        <v>16</v>
      </c>
      <c r="B10" s="1" t="s">
        <v>11</v>
      </c>
      <c r="C10" s="1" t="s">
        <v>6</v>
      </c>
      <c r="D10" s="4">
        <v>1200000</v>
      </c>
    </row>
    <row r="11" spans="1:8" x14ac:dyDescent="0.3">
      <c r="A11" s="1" t="s">
        <v>17</v>
      </c>
      <c r="B11" s="1" t="s">
        <v>9</v>
      </c>
      <c r="C11" s="1" t="s">
        <v>7</v>
      </c>
      <c r="D11" s="4">
        <v>1300000</v>
      </c>
    </row>
  </sheetData>
  <mergeCells count="2">
    <mergeCell ref="A1:D1"/>
    <mergeCell ref="F1:H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D6490-DB4F-4E40-9FF3-BE255FFBFDF2}">
  <dimension ref="A1:H9"/>
  <sheetViews>
    <sheetView workbookViewId="0"/>
  </sheetViews>
  <sheetFormatPr defaultRowHeight="16.5" x14ac:dyDescent="0.3"/>
  <cols>
    <col min="1" max="1" width="23.625" bestFit="1" customWidth="1"/>
    <col min="4" max="4" width="7.125" bestFit="1" customWidth="1"/>
    <col min="5" max="5" width="1.625" customWidth="1"/>
  </cols>
  <sheetData>
    <row r="1" spans="1:8" x14ac:dyDescent="0.3">
      <c r="A1" s="1" t="s">
        <v>19</v>
      </c>
      <c r="B1" s="1" t="s">
        <v>20</v>
      </c>
      <c r="C1" s="1" t="s">
        <v>21</v>
      </c>
      <c r="D1" s="1" t="s">
        <v>22</v>
      </c>
      <c r="F1" s="6" t="s">
        <v>23</v>
      </c>
      <c r="G1" s="6"/>
      <c r="H1" s="6"/>
    </row>
    <row r="2" spans="1:8" x14ac:dyDescent="0.3">
      <c r="A2" s="1" t="s">
        <v>24</v>
      </c>
      <c r="B2" s="1" t="s">
        <v>25</v>
      </c>
      <c r="C2" s="1" t="s">
        <v>26</v>
      </c>
      <c r="D2" s="4">
        <v>9</v>
      </c>
      <c r="F2" s="1" t="s">
        <v>20</v>
      </c>
      <c r="G2" s="3" t="s">
        <v>26</v>
      </c>
      <c r="H2" s="3" t="s">
        <v>27</v>
      </c>
    </row>
    <row r="3" spans="1:8" x14ac:dyDescent="0.3">
      <c r="A3" s="1" t="s">
        <v>28</v>
      </c>
      <c r="B3" s="1" t="s">
        <v>29</v>
      </c>
      <c r="C3" s="1" t="s">
        <v>27</v>
      </c>
      <c r="D3" s="4">
        <v>4</v>
      </c>
      <c r="F3" s="1" t="s">
        <v>29</v>
      </c>
      <c r="G3" s="5">
        <f>SUMIFS($D$2:$D$9,$B$2:$B$9,$F3,$C$2:$C$9,G$2)</f>
        <v>28</v>
      </c>
      <c r="H3" s="5">
        <f>SUMIFS($D$2:$D$9,$B$2:$B$9,$F3,$C$2:$C$9,H$2)</f>
        <v>16</v>
      </c>
    </row>
    <row r="4" spans="1:8" x14ac:dyDescent="0.3">
      <c r="A4" s="1" t="s">
        <v>30</v>
      </c>
      <c r="B4" s="1" t="s">
        <v>31</v>
      </c>
      <c r="C4" s="1" t="s">
        <v>27</v>
      </c>
      <c r="D4" s="4">
        <v>15</v>
      </c>
      <c r="F4" s="1" t="s">
        <v>25</v>
      </c>
      <c r="G4" s="5">
        <f t="shared" ref="G4:H5" si="0">SUMIFS($D$2:$D$9,$B$2:$B$9,$F4,$C$2:$C$9,G$2)</f>
        <v>9</v>
      </c>
      <c r="H4" s="5">
        <f t="shared" si="0"/>
        <v>0</v>
      </c>
    </row>
    <row r="5" spans="1:8" x14ac:dyDescent="0.3">
      <c r="A5" s="1" t="s">
        <v>32</v>
      </c>
      <c r="B5" s="1" t="s">
        <v>29</v>
      </c>
      <c r="C5" s="1" t="s">
        <v>27</v>
      </c>
      <c r="D5" s="4">
        <v>7</v>
      </c>
      <c r="F5" s="1" t="s">
        <v>31</v>
      </c>
      <c r="G5" s="5">
        <f t="shared" si="0"/>
        <v>32</v>
      </c>
      <c r="H5" s="5">
        <f t="shared" si="0"/>
        <v>15</v>
      </c>
    </row>
    <row r="6" spans="1:8" x14ac:dyDescent="0.3">
      <c r="A6" s="1" t="s">
        <v>33</v>
      </c>
      <c r="B6" s="1" t="s">
        <v>29</v>
      </c>
      <c r="C6" s="1" t="s">
        <v>26</v>
      </c>
      <c r="D6" s="4">
        <v>21</v>
      </c>
    </row>
    <row r="7" spans="1:8" x14ac:dyDescent="0.3">
      <c r="A7" s="1" t="s">
        <v>34</v>
      </c>
      <c r="B7" s="1" t="s">
        <v>29</v>
      </c>
      <c r="C7" s="1" t="s">
        <v>26</v>
      </c>
      <c r="D7" s="4">
        <v>7</v>
      </c>
    </row>
    <row r="8" spans="1:8" x14ac:dyDescent="0.3">
      <c r="A8" s="1" t="s">
        <v>35</v>
      </c>
      <c r="B8" s="1" t="s">
        <v>29</v>
      </c>
      <c r="C8" s="1" t="s">
        <v>27</v>
      </c>
      <c r="D8" s="4">
        <v>5</v>
      </c>
    </row>
    <row r="9" spans="1:8" x14ac:dyDescent="0.3">
      <c r="A9" s="1" t="s">
        <v>36</v>
      </c>
      <c r="B9" s="1" t="s">
        <v>31</v>
      </c>
      <c r="C9" s="1" t="s">
        <v>26</v>
      </c>
      <c r="D9" s="4">
        <v>32</v>
      </c>
    </row>
  </sheetData>
  <mergeCells count="1">
    <mergeCell ref="F1:H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2023-05-12T10:28:10Z</dcterms:created>
  <dcterms:modified xsi:type="dcterms:W3CDTF">2023-07-18T12:28:41Z</dcterms:modified>
</cp:coreProperties>
</file>