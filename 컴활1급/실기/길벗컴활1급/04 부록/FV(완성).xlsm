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C5C52B14-BBB9-4178-A0FB-63F1BCC4EA2A}" xr6:coauthVersionLast="47" xr6:coauthVersionMax="47" xr10:uidLastSave="{00000000-0000-0000-0000-000000000000}"/>
  <bookViews>
    <workbookView xWindow="30225" yWindow="1425" windowWidth="19200" windowHeight="12525" xr2:uid="{9B0BC561-C17E-45F0-997C-CD4485F104B4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" l="1"/>
  <c r="E5" i="1"/>
  <c r="E6" i="1"/>
  <c r="E7" i="1"/>
  <c r="E3" i="1"/>
  <c r="E4" i="2"/>
  <c r="E5" i="2"/>
  <c r="E6" i="2"/>
  <c r="E7" i="2"/>
  <c r="E3" i="2"/>
</calcChain>
</file>

<file path=xl/sharedStrings.xml><?xml version="1.0" encoding="utf-8"?>
<sst xmlns="http://schemas.openxmlformats.org/spreadsheetml/2006/main" count="20" uniqueCount="17">
  <si>
    <t>만기 저축액 계산</t>
  </si>
  <si>
    <t>이율</t>
  </si>
  <si>
    <t>기간(년)</t>
  </si>
  <si>
    <t>매월 저축액</t>
  </si>
  <si>
    <t>만기금액</t>
  </si>
  <si>
    <t>만기 지급액 계산</t>
  </si>
  <si>
    <t>사원번호</t>
  </si>
  <si>
    <t>직위</t>
  </si>
  <si>
    <t>월불입액</t>
  </si>
  <si>
    <t>만기지급액</t>
  </si>
  <si>
    <t>TN-012</t>
  </si>
  <si>
    <t>과장</t>
  </si>
  <si>
    <t>TN-011</t>
  </si>
  <si>
    <t>TN-010</t>
  </si>
  <si>
    <t>TN-014</t>
  </si>
  <si>
    <t>TN-015</t>
  </si>
  <si>
    <t>대리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</si>
</sst>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₩&quot;#,##0;[Red]\-&quot;₩&quot;#,##0"/>
    <numFmt numFmtId="41" formatCode="_-* #,##0_-;\-* #,##0_-;_-* &quot;-&quot;_-;_-@_-"/>
    <numFmt numFmtId="176" formatCode="0.0%"/>
    <numFmt numFmtId="177" formatCode="0_);[Red]\(0\)"/>
    <numFmt numFmtId="178" formatCode="#,##0_ 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2" applyNumberFormat="1" applyFont="1" applyBorder="1">
      <alignment vertical="center"/>
    </xf>
    <xf numFmtId="177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6" fontId="0" fillId="0" borderId="1" xfId="0" applyNumberFormat="1" applyBorder="1">
      <alignment vertical="center"/>
    </xf>
    <xf numFmtId="41" fontId="0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6" fontId="0" fillId="0" borderId="1" xfId="1" applyNumberFormat="1" applyFont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DA2A-963E-490F-8310-FA1045399F4F}">
  <dimension ref="B1:E7"/>
  <sheetViews>
    <sheetView tabSelected="1" workbookViewId="0">
      <selection activeCell="I20" sqref="I20"/>
    </sheetView>
  </sheetViews>
  <sheetFormatPr defaultRowHeight="16.5" x14ac:dyDescent="0.3"/>
  <cols>
    <col min="1" max="1" width="1.625" customWidth="1"/>
    <col min="4" max="4" width="11.625" bestFit="1" customWidth="1"/>
    <col min="5" max="5" width="12.25" customWidth="1"/>
  </cols>
  <sheetData>
    <row r="1" spans="2:5" x14ac:dyDescent="0.3">
      <c r="B1" s="8" t="s">
        <v>0</v>
      </c>
      <c r="C1" s="8"/>
      <c r="D1" s="8"/>
      <c r="E1" s="8"/>
    </row>
    <row r="2" spans="2:5" x14ac:dyDescent="0.3">
      <c r="B2" s="1" t="s">
        <v>1</v>
      </c>
      <c r="C2" s="1" t="s">
        <v>2</v>
      </c>
      <c r="D2" s="1" t="s">
        <v>3</v>
      </c>
      <c r="E2" s="2" t="s">
        <v>4</v>
      </c>
    </row>
    <row r="3" spans="2:5" x14ac:dyDescent="0.3">
      <c r="B3" s="3">
        <v>0.06</v>
      </c>
      <c r="C3" s="4">
        <v>1</v>
      </c>
      <c r="D3" s="5">
        <v>-100000</v>
      </c>
      <c r="E3" s="6">
        <f>FV(B3/12,C3*12,D3)</f>
        <v>1233556.2372899521</v>
      </c>
    </row>
    <row r="4" spans="2:5" x14ac:dyDescent="0.3">
      <c r="B4" s="3">
        <v>0.06</v>
      </c>
      <c r="C4" s="4">
        <v>2</v>
      </c>
      <c r="D4" s="5">
        <v>-100000</v>
      </c>
      <c r="E4" s="6">
        <f t="shared" ref="E4:E7" si="0">FV(B4/12,C4*12,D4)</f>
        <v>2543195.5241077552</v>
      </c>
    </row>
    <row r="5" spans="2:5" x14ac:dyDescent="0.3">
      <c r="B5" s="3">
        <v>0.06</v>
      </c>
      <c r="C5" s="4">
        <v>3</v>
      </c>
      <c r="D5" s="5">
        <v>-100000</v>
      </c>
      <c r="E5" s="6">
        <f t="shared" si="0"/>
        <v>3933610.4964682539</v>
      </c>
    </row>
    <row r="6" spans="2:5" x14ac:dyDescent="0.3">
      <c r="B6" s="3">
        <v>0.06</v>
      </c>
      <c r="C6" s="4">
        <v>4</v>
      </c>
      <c r="D6" s="5">
        <v>-100000</v>
      </c>
      <c r="E6" s="6">
        <f t="shared" si="0"/>
        <v>5409783.2219075887</v>
      </c>
    </row>
    <row r="7" spans="2:5" x14ac:dyDescent="0.3">
      <c r="B7" s="3">
        <v>0.06</v>
      </c>
      <c r="C7" s="4">
        <v>5</v>
      </c>
      <c r="D7" s="5">
        <v>-100000</v>
      </c>
      <c r="E7" s="6">
        <f t="shared" si="0"/>
        <v>6977003.0509860748</v>
      </c>
    </row>
  </sheetData>
  <mergeCells count="1">
    <mergeCell ref="B1:E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FFE4A-26CA-4FD9-919A-6520FF0DFD1D}">
  <dimension ref="B1:E7"/>
  <sheetViews>
    <sheetView workbookViewId="0">
      <selection activeCell="H23" sqref="H23"/>
    </sheetView>
  </sheetViews>
  <sheetFormatPr defaultRowHeight="16.5" x14ac:dyDescent="0.3"/>
  <cols>
    <col min="1" max="1" width="1.625" customWidth="1"/>
    <col min="4" max="4" width="9.375" bestFit="1" customWidth="1"/>
    <col min="5" max="5" width="10.875" bestFit="1" customWidth="1"/>
  </cols>
  <sheetData>
    <row r="1" spans="2:5" x14ac:dyDescent="0.3">
      <c r="B1" s="8" t="s">
        <v>5</v>
      </c>
      <c r="C1" s="8"/>
      <c r="D1" s="8"/>
      <c r="E1" s="8"/>
    </row>
    <row r="2" spans="2:5" x14ac:dyDescent="0.3">
      <c r="B2" s="1" t="s">
        <v>6</v>
      </c>
      <c r="C2" s="1" t="s">
        <v>7</v>
      </c>
      <c r="D2" s="1" t="s">
        <v>8</v>
      </c>
      <c r="E2" s="2" t="s">
        <v>9</v>
      </c>
    </row>
    <row r="3" spans="2:5" x14ac:dyDescent="0.3">
      <c r="B3" s="1" t="s">
        <v>10</v>
      </c>
      <c r="C3" s="1" t="s">
        <v>11</v>
      </c>
      <c r="D3" s="7">
        <v>112000</v>
      </c>
      <c r="E3" s="9">
        <f>ROUNDUP(FV(4%/12,5*12,-D3,,1),-2)</f>
        <v>7450300</v>
      </c>
    </row>
    <row r="4" spans="2:5" x14ac:dyDescent="0.3">
      <c r="B4" s="1" t="s">
        <v>12</v>
      </c>
      <c r="C4" s="1" t="s">
        <v>11</v>
      </c>
      <c r="D4" s="7">
        <v>81300</v>
      </c>
      <c r="E4" s="9">
        <f t="shared" ref="E4:E7" si="0">ROUNDUP(FV(4%/12,5*12,-D4,,1),-2)</f>
        <v>5408100</v>
      </c>
    </row>
    <row r="5" spans="2:5" x14ac:dyDescent="0.3">
      <c r="B5" s="1" t="s">
        <v>13</v>
      </c>
      <c r="C5" s="1" t="s">
        <v>11</v>
      </c>
      <c r="D5" s="7">
        <v>113600</v>
      </c>
      <c r="E5" s="9">
        <f t="shared" si="0"/>
        <v>7556700</v>
      </c>
    </row>
    <row r="6" spans="2:5" x14ac:dyDescent="0.3">
      <c r="B6" s="1" t="s">
        <v>14</v>
      </c>
      <c r="C6" s="1" t="s">
        <v>11</v>
      </c>
      <c r="D6" s="7">
        <v>112000</v>
      </c>
      <c r="E6" s="9">
        <f t="shared" si="0"/>
        <v>7450300</v>
      </c>
    </row>
    <row r="7" spans="2:5" x14ac:dyDescent="0.3">
      <c r="B7" s="1" t="s">
        <v>15</v>
      </c>
      <c r="C7" s="1" t="s">
        <v>16</v>
      </c>
      <c r="D7" s="7">
        <v>73500</v>
      </c>
      <c r="E7" s="9">
        <f t="shared" si="0"/>
        <v>4889300</v>
      </c>
    </row>
  </sheetData>
  <mergeCells count="1">
    <mergeCell ref="B1:E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2023-05-12T08:55:34Z</dcterms:created>
  <dcterms:modified xsi:type="dcterms:W3CDTF">2023-07-20T07:29:10Z</dcterms:modified>
</cp:coreProperties>
</file>