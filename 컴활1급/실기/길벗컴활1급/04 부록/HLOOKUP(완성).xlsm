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1C65135E-9BE0-44E9-93CA-91AE7E041517}" xr6:coauthVersionLast="47" xr6:coauthVersionMax="47" xr10:uidLastSave="{00000000-0000-0000-0000-000000000000}"/>
  <bookViews>
    <workbookView xWindow="29730" yWindow="720" windowWidth="19200" windowHeight="12525" xr2:uid="{ABBD1BCB-EEB9-4D54-B2BB-B7B7FA5D0A60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3" i="1"/>
  <c r="E9" i="2"/>
  <c r="E10" i="2"/>
  <c r="E11" i="2"/>
  <c r="E12" i="2"/>
  <c r="E8" i="2"/>
</calcChain>
</file>

<file path=xl/sharedStrings.xml><?xml version="1.0" encoding="utf-8"?>
<sst xmlns="http://schemas.openxmlformats.org/spreadsheetml/2006/main" count="40" uniqueCount="30">
  <si>
    <t>상여급 지급</t>
  </si>
  <si>
    <t>이름</t>
  </si>
  <si>
    <t>상여금</t>
  </si>
  <si>
    <t>김신락</t>
  </si>
  <si>
    <t>홍길동</t>
  </si>
  <si>
    <t>김천만</t>
  </si>
  <si>
    <t>신선해</t>
  </si>
  <si>
    <t>막막해</t>
  </si>
  <si>
    <t>직위별 지급 기준</t>
  </si>
  <si>
    <t>직위</t>
    <phoneticPr fontId="2" type="noConversion"/>
  </si>
  <si>
    <t>사원</t>
    <phoneticPr fontId="2" type="noConversion"/>
  </si>
  <si>
    <t>부장</t>
    <phoneticPr fontId="2" type="noConversion"/>
  </si>
  <si>
    <t>과장</t>
    <phoneticPr fontId="2" type="noConversion"/>
  </si>
  <si>
    <t>대리</t>
    <phoneticPr fontId="2" type="noConversion"/>
  </si>
  <si>
    <t>상여금</t>
    <phoneticPr fontId="2" type="noConversion"/>
  </si>
  <si>
    <t>초과수당</t>
    <phoneticPr fontId="2" type="noConversion"/>
  </si>
  <si>
    <t>일별야근수당</t>
  </si>
  <si>
    <t>구분(야근일수)</t>
  </si>
  <si>
    <t>수당</t>
  </si>
  <si>
    <t>사원별 수당 현황</t>
  </si>
  <si>
    <t>부서</t>
  </si>
  <si>
    <t>야근일수</t>
  </si>
  <si>
    <t>홍길동</t>
    <phoneticPr fontId="2" type="noConversion"/>
  </si>
  <si>
    <t>총무부</t>
  </si>
  <si>
    <t>정하영</t>
  </si>
  <si>
    <t>인사부</t>
  </si>
  <si>
    <t>이도현</t>
  </si>
  <si>
    <t>영업부</t>
  </si>
  <si>
    <t>정현석</t>
  </si>
  <si>
    <t>이지영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</si>
</sst>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41" fontId="0" fillId="0" borderId="7" xfId="1" applyFont="1" applyBorder="1" applyAlignment="1">
      <alignment vertical="center"/>
    </xf>
    <xf numFmtId="0" fontId="0" fillId="0" borderId="8" xfId="0" applyBorder="1" applyAlignment="1">
      <alignment horizontal="center" vertical="center"/>
    </xf>
    <xf numFmtId="41" fontId="0" fillId="0" borderId="9" xfId="1" applyFont="1" applyBorder="1" applyAlignment="1">
      <alignment vertical="center"/>
    </xf>
    <xf numFmtId="41" fontId="0" fillId="0" borderId="10" xfId="1" applyFont="1" applyBorder="1" applyAlignment="1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6286F-06F7-4BFB-B585-FF7FD282982F}">
  <dimension ref="A1:E12"/>
  <sheetViews>
    <sheetView tabSelected="1" workbookViewId="0"/>
  </sheetViews>
  <sheetFormatPr defaultRowHeight="16.5" x14ac:dyDescent="0.3"/>
  <cols>
    <col min="1" max="1" width="8.625" customWidth="1"/>
    <col min="2" max="3" width="9.375" customWidth="1"/>
    <col min="4" max="4" width="9.25" customWidth="1"/>
    <col min="5" max="5" width="9.375" customWidth="1"/>
  </cols>
  <sheetData>
    <row r="1" spans="1:5" x14ac:dyDescent="0.3">
      <c r="B1" s="14" t="s">
        <v>0</v>
      </c>
      <c r="C1" s="14"/>
      <c r="D1" s="14"/>
    </row>
    <row r="2" spans="1:5" x14ac:dyDescent="0.3">
      <c r="B2" s="1" t="s">
        <v>1</v>
      </c>
      <c r="C2" s="1" t="s">
        <v>9</v>
      </c>
      <c r="D2" s="2" t="s">
        <v>2</v>
      </c>
    </row>
    <row r="3" spans="1:5" x14ac:dyDescent="0.3">
      <c r="B3" s="1" t="s">
        <v>3</v>
      </c>
      <c r="C3" s="1" t="s">
        <v>10</v>
      </c>
      <c r="D3" s="3">
        <f>HLOOKUP(C3,$B$10:$E$12,2,FALSE)</f>
        <v>500000</v>
      </c>
    </row>
    <row r="4" spans="1:5" x14ac:dyDescent="0.3">
      <c r="B4" s="1" t="s">
        <v>4</v>
      </c>
      <c r="C4" s="1" t="s">
        <v>11</v>
      </c>
      <c r="D4" s="3">
        <f t="shared" ref="D4:D7" si="0">HLOOKUP(C4,$B$10:$E$12,2,FALSE)</f>
        <v>700000</v>
      </c>
    </row>
    <row r="5" spans="1:5" x14ac:dyDescent="0.3">
      <c r="B5" s="1" t="s">
        <v>5</v>
      </c>
      <c r="C5" s="1" t="s">
        <v>12</v>
      </c>
      <c r="D5" s="3">
        <f t="shared" si="0"/>
        <v>650000</v>
      </c>
    </row>
    <row r="6" spans="1:5" x14ac:dyDescent="0.3">
      <c r="B6" s="1" t="s">
        <v>6</v>
      </c>
      <c r="C6" s="1" t="s">
        <v>13</v>
      </c>
      <c r="D6" s="3">
        <f t="shared" si="0"/>
        <v>600000</v>
      </c>
    </row>
    <row r="7" spans="1:5" x14ac:dyDescent="0.3">
      <c r="B7" s="1" t="s">
        <v>7</v>
      </c>
      <c r="C7" s="1" t="s">
        <v>10</v>
      </c>
      <c r="D7" s="3">
        <f t="shared" si="0"/>
        <v>500000</v>
      </c>
    </row>
    <row r="9" spans="1:5" ht="17.25" thickBot="1" x14ac:dyDescent="0.35">
      <c r="A9" s="15" t="s">
        <v>8</v>
      </c>
      <c r="B9" s="15"/>
      <c r="C9" s="15"/>
      <c r="D9" s="15"/>
      <c r="E9" s="15"/>
    </row>
    <row r="10" spans="1:5" x14ac:dyDescent="0.3">
      <c r="A10" s="4" t="s">
        <v>9</v>
      </c>
      <c r="B10" s="5" t="s">
        <v>10</v>
      </c>
      <c r="C10" s="5" t="s">
        <v>13</v>
      </c>
      <c r="D10" s="5" t="s">
        <v>12</v>
      </c>
      <c r="E10" s="6" t="s">
        <v>11</v>
      </c>
    </row>
    <row r="11" spans="1:5" x14ac:dyDescent="0.3">
      <c r="A11" s="7" t="s">
        <v>14</v>
      </c>
      <c r="B11" s="8">
        <v>500000</v>
      </c>
      <c r="C11" s="8">
        <v>600000</v>
      </c>
      <c r="D11" s="8">
        <v>650000</v>
      </c>
      <c r="E11" s="9">
        <v>700000</v>
      </c>
    </row>
    <row r="12" spans="1:5" ht="17.25" thickBot="1" x14ac:dyDescent="0.35">
      <c r="A12" s="10" t="s">
        <v>15</v>
      </c>
      <c r="B12" s="11">
        <v>3500</v>
      </c>
      <c r="C12" s="11">
        <v>4500</v>
      </c>
      <c r="D12" s="11">
        <v>5500</v>
      </c>
      <c r="E12" s="12">
        <v>6000</v>
      </c>
    </row>
  </sheetData>
  <mergeCells count="2">
    <mergeCell ref="B1:D1"/>
    <mergeCell ref="A9:E9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34DCB-5F14-4AAC-9237-D341D8AEB277}">
  <dimension ref="B2:F12"/>
  <sheetViews>
    <sheetView workbookViewId="0"/>
  </sheetViews>
  <sheetFormatPr defaultRowHeight="16.5" x14ac:dyDescent="0.3"/>
  <cols>
    <col min="1" max="1" width="2" customWidth="1"/>
    <col min="2" max="2" width="15" customWidth="1"/>
    <col min="3" max="3" width="7.375" customWidth="1"/>
    <col min="4" max="4" width="9.25" customWidth="1"/>
    <col min="5" max="5" width="11.125" customWidth="1"/>
    <col min="6" max="6" width="7.375" customWidth="1"/>
  </cols>
  <sheetData>
    <row r="2" spans="2:6" x14ac:dyDescent="0.3">
      <c r="B2" s="13" t="s">
        <v>16</v>
      </c>
    </row>
    <row r="3" spans="2:6" x14ac:dyDescent="0.3">
      <c r="B3" s="1" t="s">
        <v>17</v>
      </c>
      <c r="C3" s="1">
        <v>1</v>
      </c>
      <c r="D3" s="1">
        <v>5</v>
      </c>
      <c r="E3" s="1">
        <v>15</v>
      </c>
      <c r="F3" s="1">
        <v>25</v>
      </c>
    </row>
    <row r="4" spans="2:6" x14ac:dyDescent="0.3">
      <c r="B4" s="1" t="s">
        <v>18</v>
      </c>
      <c r="C4" s="1">
        <v>5000</v>
      </c>
      <c r="D4" s="1">
        <v>10000</v>
      </c>
      <c r="E4" s="1">
        <v>15000</v>
      </c>
      <c r="F4" s="1">
        <v>20000</v>
      </c>
    </row>
    <row r="6" spans="2:6" x14ac:dyDescent="0.3">
      <c r="B6" s="13" t="s">
        <v>19</v>
      </c>
    </row>
    <row r="7" spans="2:6" x14ac:dyDescent="0.3">
      <c r="B7" s="1" t="s">
        <v>1</v>
      </c>
      <c r="C7" s="1" t="s">
        <v>20</v>
      </c>
      <c r="D7" s="1" t="s">
        <v>21</v>
      </c>
      <c r="E7" s="2" t="s">
        <v>18</v>
      </c>
    </row>
    <row r="8" spans="2:6" x14ac:dyDescent="0.3">
      <c r="B8" s="1" t="s">
        <v>22</v>
      </c>
      <c r="C8" s="1" t="s">
        <v>23</v>
      </c>
      <c r="D8" s="1">
        <v>10</v>
      </c>
      <c r="E8" s="3">
        <f>D8*HLOOKUP(D8,$C$3:$F$4,2)</f>
        <v>100000</v>
      </c>
    </row>
    <row r="9" spans="2:6" x14ac:dyDescent="0.3">
      <c r="B9" s="1" t="s">
        <v>24</v>
      </c>
      <c r="C9" s="1" t="s">
        <v>25</v>
      </c>
      <c r="D9" s="1">
        <v>3</v>
      </c>
      <c r="E9" s="3">
        <f t="shared" ref="E9:E12" si="0">D9*HLOOKUP(D9,$C$3:$F$4,2)</f>
        <v>15000</v>
      </c>
    </row>
    <row r="10" spans="2:6" x14ac:dyDescent="0.3">
      <c r="B10" s="1" t="s">
        <v>26</v>
      </c>
      <c r="C10" s="1" t="s">
        <v>27</v>
      </c>
      <c r="D10" s="1">
        <v>2</v>
      </c>
      <c r="E10" s="3">
        <f t="shared" si="0"/>
        <v>10000</v>
      </c>
    </row>
    <row r="11" spans="2:6" x14ac:dyDescent="0.3">
      <c r="B11" s="1" t="s">
        <v>28</v>
      </c>
      <c r="C11" s="1" t="s">
        <v>23</v>
      </c>
      <c r="D11" s="1">
        <v>5</v>
      </c>
      <c r="E11" s="3">
        <f t="shared" si="0"/>
        <v>50000</v>
      </c>
    </row>
    <row r="12" spans="2:6" x14ac:dyDescent="0.3">
      <c r="B12" s="1" t="s">
        <v>29</v>
      </c>
      <c r="C12" s="1" t="s">
        <v>25</v>
      </c>
      <c r="D12" s="1">
        <v>10</v>
      </c>
      <c r="E12" s="3">
        <f t="shared" si="0"/>
        <v>100000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2023-05-12T08:57:23Z</dcterms:created>
  <dcterms:modified xsi:type="dcterms:W3CDTF">2023-07-20T09:03:07Z</dcterms:modified>
</cp:coreProperties>
</file>