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914962C-70AC-4CFA-8BDD-8E6CF0F241E4}" xr6:coauthVersionLast="47" xr6:coauthVersionMax="47" xr10:uidLastSave="{00000000-0000-0000-0000-000000000000}"/>
  <bookViews>
    <workbookView xWindow="29730" yWindow="720" windowWidth="19200" windowHeight="12525" xr2:uid="{F8DF3246-D7DE-4D64-B202-4A02B2701BE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3" i="1"/>
  <c r="F4" i="2"/>
  <c r="F5" i="2"/>
  <c r="F6" i="2"/>
  <c r="F7" i="2"/>
  <c r="F8" i="2"/>
  <c r="F9" i="2"/>
  <c r="F3" i="2"/>
</calcChain>
</file>

<file path=xl/sharedStrings.xml><?xml version="1.0" encoding="utf-8"?>
<sst xmlns="http://schemas.openxmlformats.org/spreadsheetml/2006/main" count="27" uniqueCount="22">
  <si>
    <t>기간에 따른 대출 원리금계산</t>
  </si>
  <si>
    <t>이율</t>
  </si>
  <si>
    <t>대출 기간(월)</t>
  </si>
  <si>
    <t>금액</t>
  </si>
  <si>
    <t>납입금액</t>
  </si>
  <si>
    <t>성명</t>
  </si>
  <si>
    <t>직업</t>
  </si>
  <si>
    <t>대출기간</t>
  </si>
  <si>
    <t>대출금액</t>
  </si>
  <si>
    <t>월상환액</t>
  </si>
  <si>
    <t>고광섭</t>
  </si>
  <si>
    <t>자영업</t>
  </si>
  <si>
    <t>권창영</t>
  </si>
  <si>
    <t>회사원</t>
  </si>
  <si>
    <t>김동진</t>
  </si>
  <si>
    <t>공무원</t>
  </si>
  <si>
    <t>김병준</t>
  </si>
  <si>
    <t>의사</t>
  </si>
  <si>
    <t>김영희</t>
  </si>
  <si>
    <t>김은조</t>
  </si>
  <si>
    <t>마동탁</t>
  </si>
  <si>
    <t>[표1]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</si>
</sst>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0.0%"/>
    <numFmt numFmtId="177" formatCode="#,##0_ "/>
    <numFmt numFmtId="178" formatCode="&quot;₩&quot;#,##0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2" applyNumberFormat="1" applyFont="1" applyBorder="1">
      <alignment vertical="center"/>
    </xf>
    <xf numFmtId="41" fontId="0" fillId="0" borderId="1" xfId="1" applyFont="1" applyBorder="1">
      <alignment vertical="center"/>
    </xf>
    <xf numFmtId="177" fontId="0" fillId="0" borderId="1" xfId="1" applyNumberFormat="1" applyFont="1" applyBorder="1">
      <alignment vertical="center"/>
    </xf>
    <xf numFmtId="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8501-0E03-43DA-A9F3-355FEB886512}">
  <dimension ref="B1:E8"/>
  <sheetViews>
    <sheetView tabSelected="1" workbookViewId="0"/>
  </sheetViews>
  <sheetFormatPr defaultRowHeight="16.5" x14ac:dyDescent="0.3"/>
  <cols>
    <col min="1" max="1" width="1.625" customWidth="1"/>
    <col min="2" max="2" width="6.75" customWidth="1"/>
    <col min="3" max="3" width="13" bestFit="1" customWidth="1"/>
    <col min="4" max="4" width="11.875" bestFit="1" customWidth="1"/>
    <col min="5" max="5" width="11.5" customWidth="1"/>
  </cols>
  <sheetData>
    <row r="1" spans="2:5" x14ac:dyDescent="0.3">
      <c r="B1" s="9" t="s">
        <v>0</v>
      </c>
      <c r="C1" s="9"/>
      <c r="D1" s="9"/>
      <c r="E1" s="9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3">
        <v>0.06</v>
      </c>
      <c r="C3" s="4">
        <v>6</v>
      </c>
      <c r="D3" s="5">
        <v>-10000000</v>
      </c>
      <c r="E3" s="6">
        <f>PMT(B3/12,C3,D3)</f>
        <v>1695954.5564410717</v>
      </c>
    </row>
    <row r="4" spans="2:5" x14ac:dyDescent="0.3">
      <c r="B4" s="3">
        <v>0.06</v>
      </c>
      <c r="C4" s="4">
        <v>12</v>
      </c>
      <c r="D4" s="5">
        <v>-10000000</v>
      </c>
      <c r="E4" s="6">
        <f t="shared" ref="E4:E8" si="0">PMT(B4/12,C4,D4)</f>
        <v>860664.29707080638</v>
      </c>
    </row>
    <row r="5" spans="2:5" x14ac:dyDescent="0.3">
      <c r="B5" s="3">
        <v>0.06</v>
      </c>
      <c r="C5" s="4">
        <v>18</v>
      </c>
      <c r="D5" s="5">
        <v>-10000000</v>
      </c>
      <c r="E5" s="6">
        <f t="shared" si="0"/>
        <v>582317.30529687775</v>
      </c>
    </row>
    <row r="6" spans="2:5" x14ac:dyDescent="0.3">
      <c r="B6" s="3">
        <v>0.06</v>
      </c>
      <c r="C6" s="4">
        <v>24</v>
      </c>
      <c r="D6" s="5">
        <v>-10000000</v>
      </c>
      <c r="E6" s="6">
        <f t="shared" si="0"/>
        <v>443206.10252756893</v>
      </c>
    </row>
    <row r="7" spans="2:5" x14ac:dyDescent="0.3">
      <c r="B7" s="3">
        <v>0.06</v>
      </c>
      <c r="C7" s="4">
        <v>30</v>
      </c>
      <c r="D7" s="5">
        <v>-10000000</v>
      </c>
      <c r="E7" s="6">
        <f t="shared" si="0"/>
        <v>359789.18413828028</v>
      </c>
    </row>
    <row r="8" spans="2:5" x14ac:dyDescent="0.3">
      <c r="B8" s="3">
        <v>0.06</v>
      </c>
      <c r="C8" s="4">
        <v>36</v>
      </c>
      <c r="D8" s="5">
        <v>-10000000</v>
      </c>
      <c r="E8" s="6">
        <f t="shared" si="0"/>
        <v>304219.37451555108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F266-D963-41A0-B3E4-7D594164F3B8}">
  <dimension ref="B2:G13"/>
  <sheetViews>
    <sheetView workbookViewId="0"/>
  </sheetViews>
  <sheetFormatPr defaultRowHeight="16.5" x14ac:dyDescent="0.3"/>
  <cols>
    <col min="1" max="1" width="1.625" customWidth="1"/>
    <col min="5" max="5" width="11.75" bestFit="1" customWidth="1"/>
    <col min="6" max="6" width="9.25" bestFit="1" customWidth="1"/>
  </cols>
  <sheetData>
    <row r="2" spans="2:7" x14ac:dyDescent="0.3">
      <c r="B2" s="1" t="s">
        <v>5</v>
      </c>
      <c r="C2" s="1" t="s">
        <v>6</v>
      </c>
      <c r="D2" s="1" t="s">
        <v>7</v>
      </c>
      <c r="E2" s="1" t="s">
        <v>8</v>
      </c>
      <c r="F2" s="2" t="s">
        <v>9</v>
      </c>
    </row>
    <row r="3" spans="2:7" x14ac:dyDescent="0.3">
      <c r="B3" s="1" t="s">
        <v>10</v>
      </c>
      <c r="C3" s="1" t="s">
        <v>11</v>
      </c>
      <c r="D3" s="4">
        <v>3</v>
      </c>
      <c r="E3" s="7">
        <v>5000000</v>
      </c>
      <c r="F3" s="7">
        <f>PMT(HLOOKUP(D3,$C$12:$G$13,2)/12,D3*12,-E3)</f>
        <v>150979.50902155141</v>
      </c>
    </row>
    <row r="4" spans="2:7" x14ac:dyDescent="0.3">
      <c r="B4" s="1" t="s">
        <v>12</v>
      </c>
      <c r="C4" s="1" t="s">
        <v>13</v>
      </c>
      <c r="D4" s="4">
        <v>2</v>
      </c>
      <c r="E4" s="7">
        <v>7000000</v>
      </c>
      <c r="F4" s="7">
        <f t="shared" ref="F4:F9" si="0">PMT(HLOOKUP(D4,$C$12:$G$13,2)/12,D4*12,-E4)</f>
        <v>310244.27176929824</v>
      </c>
    </row>
    <row r="5" spans="2:7" x14ac:dyDescent="0.3">
      <c r="B5" s="1" t="s">
        <v>14</v>
      </c>
      <c r="C5" s="1" t="s">
        <v>15</v>
      </c>
      <c r="D5" s="4">
        <v>2</v>
      </c>
      <c r="E5" s="7">
        <v>5500000</v>
      </c>
      <c r="F5" s="7">
        <f t="shared" si="0"/>
        <v>243763.35639016289</v>
      </c>
    </row>
    <row r="6" spans="2:7" x14ac:dyDescent="0.3">
      <c r="B6" s="1" t="s">
        <v>16</v>
      </c>
      <c r="C6" s="1" t="s">
        <v>17</v>
      </c>
      <c r="D6" s="4">
        <v>4</v>
      </c>
      <c r="E6" s="7">
        <v>2000000</v>
      </c>
      <c r="F6" s="7">
        <f t="shared" si="0"/>
        <v>46058.587141293036</v>
      </c>
    </row>
    <row r="7" spans="2:7" x14ac:dyDescent="0.3">
      <c r="B7" s="1" t="s">
        <v>18</v>
      </c>
      <c r="C7" s="1" t="s">
        <v>11</v>
      </c>
      <c r="D7" s="4">
        <v>1</v>
      </c>
      <c r="E7" s="7">
        <v>5000000</v>
      </c>
      <c r="F7" s="7">
        <f t="shared" si="0"/>
        <v>431482.08480140701</v>
      </c>
    </row>
    <row r="8" spans="2:7" x14ac:dyDescent="0.3">
      <c r="B8" s="1" t="s">
        <v>19</v>
      </c>
      <c r="C8" s="1" t="s">
        <v>17</v>
      </c>
      <c r="D8" s="4">
        <v>2</v>
      </c>
      <c r="E8" s="7">
        <v>10000000</v>
      </c>
      <c r="F8" s="7">
        <f t="shared" si="0"/>
        <v>443206.10252756893</v>
      </c>
    </row>
    <row r="9" spans="2:7" x14ac:dyDescent="0.3">
      <c r="B9" s="1" t="s">
        <v>20</v>
      </c>
      <c r="C9" s="1" t="s">
        <v>11</v>
      </c>
      <c r="D9" s="4">
        <v>1</v>
      </c>
      <c r="E9" s="7">
        <v>2000000</v>
      </c>
      <c r="F9" s="7">
        <f t="shared" si="0"/>
        <v>172592.83392056279</v>
      </c>
    </row>
    <row r="11" spans="2:7" x14ac:dyDescent="0.3">
      <c r="B11" t="s">
        <v>21</v>
      </c>
    </row>
    <row r="12" spans="2:7" x14ac:dyDescent="0.3">
      <c r="B12" s="1" t="s">
        <v>7</v>
      </c>
      <c r="C12" s="1">
        <v>1</v>
      </c>
      <c r="D12" s="1">
        <v>2</v>
      </c>
      <c r="E12" s="1">
        <v>3</v>
      </c>
      <c r="F12" s="1">
        <v>4</v>
      </c>
      <c r="G12" s="1">
        <v>5</v>
      </c>
    </row>
    <row r="13" spans="2:7" x14ac:dyDescent="0.3">
      <c r="B13" s="1" t="s">
        <v>1</v>
      </c>
      <c r="C13" s="8">
        <v>6.5000000000000002E-2</v>
      </c>
      <c r="D13" s="8">
        <v>0.06</v>
      </c>
      <c r="E13" s="8">
        <v>5.5E-2</v>
      </c>
      <c r="F13" s="8">
        <v>0.05</v>
      </c>
      <c r="G13" s="8">
        <v>4.4999999999999998E-2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2023-05-12T09:37:22Z</dcterms:created>
  <dcterms:modified xsi:type="dcterms:W3CDTF">2023-07-20T07:33:35Z</dcterms:modified>
</cp:coreProperties>
</file>