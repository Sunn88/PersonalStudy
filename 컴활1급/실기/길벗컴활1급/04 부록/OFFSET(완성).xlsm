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90CABBF-5B6A-49D7-9122-F236BF80905F}" xr6:coauthVersionLast="47" xr6:coauthVersionMax="47" xr10:uidLastSave="{00000000-0000-0000-0000-000000000000}"/>
  <bookViews>
    <workbookView xWindow="35085" yWindow="1845" windowWidth="19200" windowHeight="12525" xr2:uid="{AA02DD23-61B5-4640-8DDF-7CFAFC28DB6C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3" i="2"/>
  <c r="E4" i="1"/>
  <c r="E5" i="1"/>
  <c r="E3" i="1"/>
</calcChain>
</file>

<file path=xl/sharedStrings.xml><?xml version="1.0" encoding="utf-8"?>
<sst xmlns="http://schemas.openxmlformats.org/spreadsheetml/2006/main" count="37" uniqueCount="34">
  <si>
    <t>C10셀을 기준으로 자료 찾기</t>
  </si>
  <si>
    <t>기준셀</t>
  </si>
  <si>
    <t>행</t>
  </si>
  <si>
    <t>열</t>
  </si>
  <si>
    <t>결과</t>
  </si>
  <si>
    <t>C10</t>
  </si>
  <si>
    <t>데이터 표</t>
  </si>
  <si>
    <t>[표1]</t>
  </si>
  <si>
    <t>회원코드</t>
  </si>
  <si>
    <t>성명</t>
  </si>
  <si>
    <t>대출금액</t>
  </si>
  <si>
    <t>대출기간</t>
  </si>
  <si>
    <t>월상환액</t>
  </si>
  <si>
    <t>JA140</t>
  </si>
  <si>
    <t>이찬진</t>
  </si>
  <si>
    <t>JB571</t>
  </si>
  <si>
    <t>채경찬</t>
  </si>
  <si>
    <t>JD367</t>
  </si>
  <si>
    <t>임종례</t>
  </si>
  <si>
    <t>JC664</t>
  </si>
  <si>
    <t>정종수</t>
  </si>
  <si>
    <t>JA188</t>
  </si>
  <si>
    <t>서현명</t>
  </si>
  <si>
    <t>[표2]</t>
  </si>
  <si>
    <t>코드</t>
  </si>
  <si>
    <t>직업</t>
  </si>
  <si>
    <t>JA</t>
  </si>
  <si>
    <t>자영업</t>
  </si>
  <si>
    <t>JB</t>
  </si>
  <si>
    <t>회사원</t>
  </si>
  <si>
    <t>JC</t>
  </si>
  <si>
    <t>의사</t>
  </si>
  <si>
    <t>JD</t>
  </si>
  <si>
    <t>공무원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</si>
</sst>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2" fontId="0" fillId="0" borderId="2" xfId="0" applyNumberFormat="1" applyBorder="1" applyAlignment="1">
      <alignment horizontal="center" vertical="center"/>
    </xf>
    <xf numFmtId="177" fontId="0" fillId="0" borderId="2" xfId="2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6" fontId="0" fillId="0" borderId="2" xfId="0" applyNumberFormat="1" applyBorder="1" applyAlignme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2C506-B0EE-4E95-B65E-9E935048E5F4}">
  <dimension ref="B1:E13"/>
  <sheetViews>
    <sheetView tabSelected="1" workbookViewId="0"/>
  </sheetViews>
  <sheetFormatPr defaultRowHeight="16.5" x14ac:dyDescent="0.3"/>
  <cols>
    <col min="1" max="1" width="2" customWidth="1"/>
    <col min="2" max="5" width="7.5" customWidth="1"/>
  </cols>
  <sheetData>
    <row r="1" spans="2:5" x14ac:dyDescent="0.3">
      <c r="B1" s="7" t="s">
        <v>0</v>
      </c>
      <c r="C1" s="7"/>
      <c r="D1" s="7"/>
      <c r="E1" s="7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1" t="s">
        <v>5</v>
      </c>
      <c r="C3" s="3">
        <v>1</v>
      </c>
      <c r="D3" s="1">
        <v>1</v>
      </c>
      <c r="E3" s="4">
        <f ca="1">OFFSET($C$10,C3,D3)</f>
        <v>16</v>
      </c>
    </row>
    <row r="4" spans="2:5" x14ac:dyDescent="0.3">
      <c r="B4" s="1" t="s">
        <v>5</v>
      </c>
      <c r="C4" s="3">
        <v>0</v>
      </c>
      <c r="D4" s="1">
        <v>2</v>
      </c>
      <c r="E4" s="4">
        <f t="shared" ref="E4:E5" ca="1" si="0">OFFSET($C$10,C4,D4)</f>
        <v>21</v>
      </c>
    </row>
    <row r="5" spans="2:5" x14ac:dyDescent="0.3">
      <c r="B5" s="1" t="s">
        <v>5</v>
      </c>
      <c r="C5" s="3">
        <v>-2</v>
      </c>
      <c r="D5" s="1">
        <v>-1</v>
      </c>
      <c r="E5" s="4">
        <f t="shared" ca="1" si="0"/>
        <v>1</v>
      </c>
    </row>
    <row r="7" spans="2:5" x14ac:dyDescent="0.3">
      <c r="B7" s="7" t="s">
        <v>6</v>
      </c>
      <c r="C7" s="7"/>
      <c r="D7" s="7"/>
      <c r="E7" s="7"/>
    </row>
    <row r="8" spans="2:5" x14ac:dyDescent="0.3">
      <c r="B8" s="1">
        <v>1</v>
      </c>
      <c r="C8" s="1">
        <v>7</v>
      </c>
      <c r="D8" s="1">
        <v>13</v>
      </c>
      <c r="E8" s="1">
        <v>19</v>
      </c>
    </row>
    <row r="9" spans="2:5" x14ac:dyDescent="0.3">
      <c r="B9" s="1">
        <v>2</v>
      </c>
      <c r="C9" s="1">
        <v>8</v>
      </c>
      <c r="D9" s="1">
        <v>14</v>
      </c>
      <c r="E9" s="1">
        <v>20</v>
      </c>
    </row>
    <row r="10" spans="2:5" x14ac:dyDescent="0.3">
      <c r="B10" s="1">
        <v>3</v>
      </c>
      <c r="C10" s="1">
        <v>9</v>
      </c>
      <c r="D10" s="1">
        <v>15</v>
      </c>
      <c r="E10" s="1">
        <v>21</v>
      </c>
    </row>
    <row r="11" spans="2:5" x14ac:dyDescent="0.3">
      <c r="B11" s="1">
        <v>4</v>
      </c>
      <c r="C11" s="1">
        <v>10</v>
      </c>
      <c r="D11" s="1">
        <v>16</v>
      </c>
      <c r="E11" s="1">
        <v>22</v>
      </c>
    </row>
    <row r="12" spans="2:5" x14ac:dyDescent="0.3">
      <c r="B12" s="1">
        <v>5</v>
      </c>
      <c r="C12" s="1">
        <v>11</v>
      </c>
      <c r="D12" s="1">
        <v>17</v>
      </c>
      <c r="E12" s="1">
        <v>23</v>
      </c>
    </row>
    <row r="13" spans="2:5" x14ac:dyDescent="0.3">
      <c r="B13" s="1">
        <v>6</v>
      </c>
      <c r="C13" s="1">
        <v>12</v>
      </c>
      <c r="D13" s="1">
        <v>18</v>
      </c>
      <c r="E13" s="1">
        <v>24</v>
      </c>
    </row>
  </sheetData>
  <mergeCells count="2">
    <mergeCell ref="B1:E1"/>
    <mergeCell ref="B7:E7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4C5B7-FA8C-4609-92EF-B515DA926A70}">
  <dimension ref="A1:G14"/>
  <sheetViews>
    <sheetView workbookViewId="0"/>
  </sheetViews>
  <sheetFormatPr defaultRowHeight="16.5" x14ac:dyDescent="0.3"/>
  <cols>
    <col min="3" max="5" width="12.375" customWidth="1"/>
  </cols>
  <sheetData>
    <row r="1" spans="1:7" x14ac:dyDescent="0.3">
      <c r="A1" t="s">
        <v>7</v>
      </c>
    </row>
    <row r="2" spans="1:7" x14ac:dyDescent="0.3">
      <c r="A2" s="1" t="s">
        <v>8</v>
      </c>
      <c r="B2" s="1" t="s">
        <v>9</v>
      </c>
      <c r="C2" s="1" t="s">
        <v>10</v>
      </c>
      <c r="D2" s="1" t="s">
        <v>11</v>
      </c>
      <c r="E2" s="2" t="s">
        <v>12</v>
      </c>
    </row>
    <row r="3" spans="1:7" x14ac:dyDescent="0.3">
      <c r="A3" s="1" t="s">
        <v>13</v>
      </c>
      <c r="B3" s="1" t="s">
        <v>14</v>
      </c>
      <c r="C3" s="5">
        <v>5000000</v>
      </c>
      <c r="D3" s="1">
        <v>3</v>
      </c>
      <c r="E3" s="11">
        <f ca="1">PMT(OFFSET($B$10,MATCH(LEFT(A3,2),$A$11:$A$14,0),D3)/12,D3*12,-C3)</f>
        <v>150979.50902155141</v>
      </c>
    </row>
    <row r="4" spans="1:7" x14ac:dyDescent="0.3">
      <c r="A4" s="1" t="s">
        <v>15</v>
      </c>
      <c r="B4" s="1" t="s">
        <v>16</v>
      </c>
      <c r="C4" s="5">
        <v>7000000</v>
      </c>
      <c r="D4" s="1">
        <v>2</v>
      </c>
      <c r="E4" s="11">
        <f t="shared" ref="E4:E7" ca="1" si="0">PMT(OFFSET($B$10,MATCH(LEFT(A4,2),$A$11:$A$14,0),D4)/12,D4*12,-C4)</f>
        <v>308041.06925023685</v>
      </c>
    </row>
    <row r="5" spans="1:7" x14ac:dyDescent="0.3">
      <c r="A5" s="1" t="s">
        <v>17</v>
      </c>
      <c r="B5" s="1" t="s">
        <v>18</v>
      </c>
      <c r="C5" s="5">
        <v>5500000</v>
      </c>
      <c r="D5" s="1">
        <v>2</v>
      </c>
      <c r="E5" s="11">
        <f t="shared" ca="1" si="0"/>
        <v>240308.5965616304</v>
      </c>
    </row>
    <row r="6" spans="1:7" x14ac:dyDescent="0.3">
      <c r="A6" s="1" t="s">
        <v>19</v>
      </c>
      <c r="B6" s="1" t="s">
        <v>20</v>
      </c>
      <c r="C6" s="5">
        <v>2000000</v>
      </c>
      <c r="D6" s="1">
        <v>4</v>
      </c>
      <c r="E6" s="11">
        <f t="shared" ca="1" si="0"/>
        <v>45427.096547435249</v>
      </c>
    </row>
    <row r="7" spans="1:7" x14ac:dyDescent="0.3">
      <c r="A7" s="1" t="s">
        <v>21</v>
      </c>
      <c r="B7" s="1" t="s">
        <v>22</v>
      </c>
      <c r="C7" s="5">
        <v>5000000</v>
      </c>
      <c r="D7" s="1">
        <v>1</v>
      </c>
      <c r="E7" s="11">
        <f t="shared" ca="1" si="0"/>
        <v>431482.08480140701</v>
      </c>
    </row>
    <row r="9" spans="1:7" x14ac:dyDescent="0.3">
      <c r="A9" t="s">
        <v>23</v>
      </c>
      <c r="C9" s="8" t="s">
        <v>11</v>
      </c>
      <c r="D9" s="9"/>
      <c r="E9" s="9"/>
      <c r="F9" s="9"/>
      <c r="G9" s="10"/>
    </row>
    <row r="10" spans="1:7" x14ac:dyDescent="0.3">
      <c r="A10" s="1" t="s">
        <v>24</v>
      </c>
      <c r="B10" s="1" t="s">
        <v>25</v>
      </c>
      <c r="C10" s="1">
        <v>1</v>
      </c>
      <c r="D10" s="1">
        <v>2</v>
      </c>
      <c r="E10" s="1">
        <v>3</v>
      </c>
      <c r="F10" s="1">
        <v>4</v>
      </c>
      <c r="G10" s="1">
        <v>5</v>
      </c>
    </row>
    <row r="11" spans="1:7" x14ac:dyDescent="0.3">
      <c r="A11" s="1" t="s">
        <v>26</v>
      </c>
      <c r="B11" s="1" t="s">
        <v>27</v>
      </c>
      <c r="C11" s="6">
        <v>6.5000000000000002E-2</v>
      </c>
      <c r="D11" s="6">
        <v>0.06</v>
      </c>
      <c r="E11" s="6">
        <v>5.5E-2</v>
      </c>
      <c r="F11" s="6">
        <v>0.05</v>
      </c>
      <c r="G11" s="6">
        <v>4.4999999999999998E-2</v>
      </c>
    </row>
    <row r="12" spans="1:7" x14ac:dyDescent="0.3">
      <c r="A12" s="1" t="s">
        <v>28</v>
      </c>
      <c r="B12" s="1" t="s">
        <v>29</v>
      </c>
      <c r="C12" s="6">
        <v>5.5E-2</v>
      </c>
      <c r="D12" s="6">
        <v>5.2999999999999999E-2</v>
      </c>
      <c r="E12" s="6">
        <v>4.4999999999999998E-2</v>
      </c>
      <c r="F12" s="6">
        <v>4.2000000000000003E-2</v>
      </c>
      <c r="G12" s="6">
        <v>3.7999999999999999E-2</v>
      </c>
    </row>
    <row r="13" spans="1:7" x14ac:dyDescent="0.3">
      <c r="A13" s="1" t="s">
        <v>30</v>
      </c>
      <c r="B13" s="1" t="s">
        <v>31</v>
      </c>
      <c r="C13" s="6">
        <v>5.8000000000000003E-2</v>
      </c>
      <c r="D13" s="6">
        <v>5.2999999999999999E-2</v>
      </c>
      <c r="E13" s="6">
        <v>4.8000000000000001E-2</v>
      </c>
      <c r="F13" s="6">
        <v>4.2999999999999997E-2</v>
      </c>
      <c r="G13" s="6">
        <v>3.7999999999999999E-2</v>
      </c>
    </row>
    <row r="14" spans="1:7" x14ac:dyDescent="0.3">
      <c r="A14" s="1" t="s">
        <v>32</v>
      </c>
      <c r="B14" s="1" t="s">
        <v>33</v>
      </c>
      <c r="C14" s="6">
        <v>0.05</v>
      </c>
      <c r="D14" s="6">
        <v>4.5999999999999999E-2</v>
      </c>
      <c r="E14" s="6">
        <v>4.2000000000000003E-2</v>
      </c>
      <c r="F14" s="6">
        <v>3.7999999999999999E-2</v>
      </c>
      <c r="G14" s="6">
        <v>3.4000000000000002E-2</v>
      </c>
    </row>
  </sheetData>
  <mergeCells count="1">
    <mergeCell ref="C9:G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2023-05-12T09:34:34Z</dcterms:created>
  <dcterms:modified xsi:type="dcterms:W3CDTF">2023-07-20T09:11:32Z</dcterms:modified>
</cp:coreProperties>
</file>