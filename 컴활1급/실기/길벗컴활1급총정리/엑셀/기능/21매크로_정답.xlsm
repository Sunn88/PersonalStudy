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B598F802-2AA6-448F-A3DD-2E73357BD848}" xr6:coauthVersionLast="47" xr6:coauthVersionMax="47" xr10:uidLastSave="{00000000-0000-0000-0000-000000000000}"/>
  <bookViews>
    <workbookView xWindow="-120" yWindow="-120" windowWidth="29040" windowHeight="15840" xr2:uid="{65B787F5-88C9-479D-AA67-1F83BB99E816}"/>
  </bookViews>
  <sheets>
    <sheet name="합격포인트_01-유형1" sheetId="1" r:id="rId1"/>
    <sheet name="01-유형2" sheetId="2" r:id="rId2"/>
    <sheet name="01-유형3" sheetId="3" r:id="rId3"/>
    <sheet name="01-유형4" sheetId="4" r:id="rId4"/>
    <sheet name="01_체크체크_①~④" sheetId="5" r:id="rId5"/>
    <sheet name="대표기출문제_기출1" sheetId="6" r:id="rId6"/>
    <sheet name="기출2" sheetId="7" r:id="rId7"/>
    <sheet name="기출3" sheetId="8" r:id="rId8"/>
    <sheet name="기출4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</calcChain>
</file>

<file path=xl/sharedStrings.xml><?xml version="1.0" encoding="utf-8"?>
<sst xmlns="http://schemas.openxmlformats.org/spreadsheetml/2006/main" count="177" uniqueCount="145">
  <si>
    <t>판매월</t>
  </si>
  <si>
    <t>품명</t>
  </si>
  <si>
    <t>1월</t>
  </si>
  <si>
    <t>하이트</t>
  </si>
  <si>
    <t>2월</t>
  </si>
  <si>
    <t>카스</t>
  </si>
  <si>
    <t>라거</t>
  </si>
  <si>
    <t>3월</t>
  </si>
  <si>
    <t>바트</t>
  </si>
  <si>
    <t>진로</t>
  </si>
  <si>
    <t>백세주</t>
  </si>
  <si>
    <t>시원</t>
  </si>
  <si>
    <t>짐레트</t>
  </si>
  <si>
    <t>마주앙</t>
  </si>
  <si>
    <t>순이익</t>
  </si>
  <si>
    <t>미등록</t>
  </si>
  <si>
    <t>품목명</t>
  </si>
  <si>
    <t>수량</t>
  </si>
  <si>
    <t>판매금액</t>
  </si>
  <si>
    <t>미수금</t>
  </si>
  <si>
    <t>Blue</t>
  </si>
  <si>
    <t>Red300</t>
  </si>
  <si>
    <t>Violet550</t>
  </si>
  <si>
    <t xml:space="preserve">Red334 </t>
  </si>
  <si>
    <t xml:space="preserve">Yellow </t>
  </si>
  <si>
    <t>Violet600</t>
  </si>
  <si>
    <t>대리점</t>
  </si>
  <si>
    <t>계획수량</t>
  </si>
  <si>
    <t>판매수량</t>
  </si>
  <si>
    <t>총판매금액</t>
  </si>
  <si>
    <t>서울</t>
  </si>
  <si>
    <t>인천</t>
  </si>
  <si>
    <t>부산</t>
  </si>
  <si>
    <t>광주</t>
  </si>
  <si>
    <t>제주</t>
  </si>
  <si>
    <t>대전</t>
  </si>
  <si>
    <t>폐업</t>
  </si>
  <si>
    <t>성명</t>
  </si>
  <si>
    <t>시험</t>
  </si>
  <si>
    <t>과제</t>
  </si>
  <si>
    <t>총점</t>
  </si>
  <si>
    <t>이덕환</t>
  </si>
  <si>
    <t>안치연</t>
  </si>
  <si>
    <t>강청기</t>
  </si>
  <si>
    <t>연구현</t>
  </si>
  <si>
    <t>오지락</t>
  </si>
  <si>
    <t>사은숙</t>
  </si>
  <si>
    <t>봉하영</t>
  </si>
  <si>
    <t>A-002</t>
  </si>
  <si>
    <t>A-003</t>
  </si>
  <si>
    <t>A-004</t>
  </si>
  <si>
    <t>A-005</t>
  </si>
  <si>
    <t>A-006</t>
  </si>
  <si>
    <t>A-007</t>
  </si>
  <si>
    <t>상품코드</t>
  </si>
  <si>
    <t>이익금</t>
  </si>
  <si>
    <t>가격변동</t>
  </si>
  <si>
    <t>전달대비판매량</t>
  </si>
  <si>
    <t>A-001</t>
  </si>
  <si>
    <t>전공학과</t>
  </si>
  <si>
    <t>중간고사</t>
  </si>
  <si>
    <t>기말고사</t>
  </si>
  <si>
    <t>평점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</si>
  <si>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</si>
  <si>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</si>
  <si>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</si>
  <si>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</si>
  <si>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</si>
  <si>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</si>
  <si>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</si>
  <si>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</si>
  <si>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</si>
  <si>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</si>
  <si>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</si>
  <si>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성적 현황</t>
  </si>
  <si>
    <t>결석수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</si>
  <si>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</si>
  <si>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</si>
  <si>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</si>
  <si>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</si>
  <si>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</si>
  <si>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</si>
  <si>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</si>
  <si>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</si>
  <si>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</si>
  <si>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</si>
  <si>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</si>
  <si>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</si>
  <si>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</si>
  <si>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제조1부</t>
  </si>
  <si>
    <t>CE-20</t>
  </si>
  <si>
    <t>제조2부</t>
  </si>
  <si>
    <t>CE-30</t>
  </si>
  <si>
    <t>제조3부</t>
  </si>
  <si>
    <t>AM-11</t>
  </si>
  <si>
    <t>AM-22</t>
  </si>
  <si>
    <t>AM-33</t>
  </si>
  <si>
    <t>주민번호</t>
  </si>
  <si>
    <t>출자금액</t>
  </si>
  <si>
    <t>관할지부</t>
  </si>
  <si>
    <t>대출금액</t>
  </si>
  <si>
    <t>송종환</t>
  </si>
  <si>
    <t>691028-1******</t>
  </si>
  <si>
    <t>동대문</t>
  </si>
  <si>
    <t>최혜은</t>
  </si>
  <si>
    <t>800727-2******</t>
  </si>
  <si>
    <t>마포</t>
  </si>
  <si>
    <t>윤영서</t>
  </si>
  <si>
    <t>860729-2******</t>
  </si>
  <si>
    <t>장슬지</t>
  </si>
  <si>
    <t>631106-1******</t>
  </si>
  <si>
    <t>광진</t>
  </si>
  <si>
    <t>주재훈</t>
  </si>
  <si>
    <t>610122-1******</t>
  </si>
  <si>
    <t>이종한</t>
  </si>
  <si>
    <t>870517-1******</t>
  </si>
  <si>
    <t>남태헌</t>
  </si>
  <si>
    <t>821211-2******</t>
  </si>
  <si>
    <t>황윤형</t>
  </si>
  <si>
    <t>830918-2******</t>
  </si>
  <si>
    <t>오진주</t>
  </si>
  <si>
    <t>600303-1******</t>
  </si>
  <si>
    <t>배신영</t>
  </si>
  <si>
    <t>650805-1******</t>
  </si>
  <si>
    <t>노장우</t>
  </si>
  <si>
    <t>730626-2******</t>
  </si>
  <si>
    <t>강남</t>
  </si>
  <si>
    <t>오지완</t>
  </si>
  <si>
    <t>671121-1******</t>
  </si>
  <si>
    <t>주현일</t>
  </si>
  <si>
    <t>840806-2******</t>
  </si>
  <si>
    <t>[표1] 지점별 영업 실적</t>
  </si>
  <si>
    <t>지점명</t>
  </si>
  <si>
    <t>전월대비 증감율</t>
  </si>
  <si>
    <t>서울점</t>
  </si>
  <si>
    <t>오산점</t>
  </si>
  <si>
    <t>안양점</t>
  </si>
  <si>
    <t>인천점</t>
  </si>
  <si>
    <t>수원점</t>
  </si>
  <si>
    <t>성남점</t>
  </si>
  <si>
    <t>파주점</t>
  </si>
  <si>
    <t>휴점</t>
  </si>
  <si>
    <t>부천점</t>
  </si>
  <si>
    <t>안산점</t>
  </si>
  <si>
    <t>오류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</si>
</sst>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#,###;[Red]&quot;▣&quot;\ #,###;0;&quot;※&quot;"/>
    <numFmt numFmtId="177" formatCode="[Red][&gt;=100000]&quot;★&quot;#,##0;[Blue][&lt;50000]&quot;☆&quot;#,##0;#,##0"/>
    <numFmt numFmtId="178" formatCode="[Red][&gt;=5000000]&quot;★ &quot;#,##0,&quot;천원&quot;;[=0]&quot;※&quot;;#,##0,&quot;천원&quot;"/>
    <numFmt numFmtId="179" formatCode="[Red][&gt;=90]&quot;★&quot;* #;[Blue][&gt;=80]&quot;☆&quot;* #;#"/>
    <numFmt numFmtId="180" formatCode="[Blue]#,###&quot;원&quot;;[Red]#,###&quot;원&quot;;0&quot;원&quot;;&quot;확인&quot;"/>
    <numFmt numFmtId="181" formatCode="[Red][&gt;=100]&quot;▼&quot;0;[Blue][&gt;=50]&quot;◆&quot;0;&quot;▲&quot;0"/>
    <numFmt numFmtId="182" formatCode="[Red][&gt;=1000000]&quot;◎ &quot;0,,&quot;백만원&quot;;[=0]&quot;※&quot;;0,&quot;천원&quot;"/>
    <numFmt numFmtId="183" formatCode="[Blue][&lt;=10]&quot;▲&quot;* 0;[Red][&gt;=100]&quot;▼&quot;* 0;0"/>
    <numFmt numFmtId="184" formatCode="[Red][&gt;=50000000]&quot;▼&quot;0,,&quot;백만원&quot;;[Blue][&lt;10000000]&quot;▲&quot;0,,&quot;백만원&quot;;0,,&quot;백만원&quot;"/>
    <numFmt numFmtId="185" formatCode="[Red][&gt;=90]&quot;우수&quot;* 0;[Blue][&lt;60]&quot;노력&quot;* 0;0"/>
    <numFmt numFmtId="186" formatCode="[Red][&gt;=0.2]&quot;★&quot;0%;[Blue][&gt;=0.1]&quot;☆&quot;0%;0%"/>
    <numFmt numFmtId="187" formatCode="0.0;[Red]&quot;▼&quot;* 0.0;;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41" fontId="0" fillId="0" borderId="1" xfId="1" applyFont="1" applyBorder="1">
      <alignment vertical="center"/>
    </xf>
    <xf numFmtId="0" fontId="4" fillId="0" borderId="0" xfId="0" applyFont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177" fontId="0" fillId="0" borderId="1" xfId="1" applyNumberFormat="1" applyFont="1" applyBorder="1" applyAlignment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1" applyNumberFormat="1" applyFont="1" applyBorder="1" applyAlignment="1">
      <alignment vertical="center"/>
    </xf>
    <xf numFmtId="181" fontId="0" fillId="0" borderId="1" xfId="1" applyNumberFormat="1" applyFont="1" applyBorder="1" applyAlignment="1">
      <alignment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184" fontId="0" fillId="0" borderId="1" xfId="0" applyNumberFormat="1" applyBorder="1" applyAlignment="1">
      <alignment horizontal="center" vertical="center"/>
    </xf>
    <xf numFmtId="184" fontId="0" fillId="0" borderId="0" xfId="0" applyNumberFormat="1">
      <alignment vertical="center"/>
    </xf>
    <xf numFmtId="185" fontId="0" fillId="0" borderId="1" xfId="0" applyNumberFormat="1" applyBorder="1">
      <alignment vertical="center"/>
    </xf>
    <xf numFmtId="186" fontId="0" fillId="0" borderId="1" xfId="2" applyNumberFormat="1" applyFont="1" applyBorder="1" applyAlignment="1">
      <alignment vertical="center"/>
    </xf>
    <xf numFmtId="184" fontId="0" fillId="0" borderId="1" xfId="1" applyNumberFormat="1" applyFont="1" applyFill="1" applyBorder="1" applyAlignment="1">
      <alignment vertical="center"/>
    </xf>
    <xf numFmtId="187" fontId="0" fillId="0" borderId="1" xfId="2" applyNumberFormat="1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ont>
        <b/>
        <i val="0"/>
        <u val="double"/>
      </font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B0549DF-305E-42B4-B02B-5795D96CD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표시형식적용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9E69752F-DD47-4D87-B9C7-49717D377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46002101-D36B-4411-8E98-72D432EEA33B}"/>
            </a:ext>
          </a:extLst>
        </xdr:cNvPr>
        <xdr:cNvSpPr/>
      </xdr:nvSpPr>
      <xdr:spPr>
        <a:xfrm>
          <a:off x="3438525" y="419100"/>
          <a:ext cx="8572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BD016AA9-C4B8-4FC3-BDC5-8C025C012D0E}"/>
            </a:ext>
          </a:extLst>
        </xdr:cNvPr>
        <xdr:cNvSpPr/>
      </xdr:nvSpPr>
      <xdr:spPr>
        <a:xfrm>
          <a:off x="3438525" y="1047750"/>
          <a:ext cx="8572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EDB90507-9591-4658-9678-034EE900A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표시단위적용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A60929AC-0C93-4C27-BAF0-69B8CDED6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색조보기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996824B-2C64-49A9-BA7A-729409470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49AA3AB4-E73A-4215-94ED-49A3A9132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695B0-AFFC-43AA-BDAE-6854AA35FF38}">
  <sheetPr codeName="Sheet1"/>
  <dimension ref="A1:C10"/>
  <sheetViews>
    <sheetView tabSelected="1" workbookViewId="0">
      <selection activeCell="R20" sqref="R20"/>
    </sheetView>
  </sheetViews>
  <sheetFormatPr defaultRowHeight="16.5" x14ac:dyDescent="0.3"/>
  <cols>
    <col min="1" max="2" width="7.875" customWidth="1"/>
    <col min="3" max="3" width="9.375" bestFit="1" customWidth="1"/>
  </cols>
  <sheetData>
    <row r="1" spans="1:3" x14ac:dyDescent="0.3">
      <c r="A1" s="1" t="s">
        <v>0</v>
      </c>
      <c r="B1" s="1" t="s">
        <v>1</v>
      </c>
      <c r="C1" s="1" t="s">
        <v>14</v>
      </c>
    </row>
    <row r="2" spans="1:3" x14ac:dyDescent="0.3">
      <c r="A2" s="1" t="s">
        <v>2</v>
      </c>
      <c r="B2" s="1" t="s">
        <v>3</v>
      </c>
      <c r="C2" s="13">
        <v>65000</v>
      </c>
    </row>
    <row r="3" spans="1:3" x14ac:dyDescent="0.3">
      <c r="A3" s="1" t="s">
        <v>4</v>
      </c>
      <c r="B3" s="1" t="s">
        <v>5</v>
      </c>
      <c r="C3" s="13">
        <v>500000</v>
      </c>
    </row>
    <row r="4" spans="1:3" x14ac:dyDescent="0.3">
      <c r="A4" s="1" t="s">
        <v>2</v>
      </c>
      <c r="B4" s="1" t="s">
        <v>6</v>
      </c>
      <c r="C4" s="13">
        <v>0</v>
      </c>
    </row>
    <row r="5" spans="1:3" x14ac:dyDescent="0.3">
      <c r="A5" s="1" t="s">
        <v>7</v>
      </c>
      <c r="B5" s="1" t="s">
        <v>8</v>
      </c>
      <c r="C5" s="13">
        <v>225000</v>
      </c>
    </row>
    <row r="6" spans="1:3" x14ac:dyDescent="0.3">
      <c r="A6" s="1" t="s">
        <v>4</v>
      </c>
      <c r="B6" s="1" t="s">
        <v>9</v>
      </c>
      <c r="C6" s="13">
        <v>-22500</v>
      </c>
    </row>
    <row r="7" spans="1:3" x14ac:dyDescent="0.3">
      <c r="A7" s="1" t="s">
        <v>7</v>
      </c>
      <c r="B7" s="1" t="s">
        <v>10</v>
      </c>
      <c r="C7" s="13">
        <v>-35000</v>
      </c>
    </row>
    <row r="8" spans="1:3" x14ac:dyDescent="0.3">
      <c r="A8" s="1" t="s">
        <v>2</v>
      </c>
      <c r="B8" s="1" t="s">
        <v>11</v>
      </c>
      <c r="C8" s="13" t="s">
        <v>15</v>
      </c>
    </row>
    <row r="9" spans="1:3" x14ac:dyDescent="0.3">
      <c r="A9" s="1" t="s">
        <v>4</v>
      </c>
      <c r="B9" s="1" t="s">
        <v>12</v>
      </c>
      <c r="C9" s="13">
        <v>550000</v>
      </c>
    </row>
    <row r="10" spans="1:3" x14ac:dyDescent="0.3">
      <c r="A10" s="1" t="s">
        <v>7</v>
      </c>
      <c r="B10" s="1" t="s">
        <v>13</v>
      </c>
      <c r="C10" s="13">
        <v>600000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3AADB-F3E7-4BA7-BF53-00B926036C96}">
  <sheetPr codeName="Sheet2"/>
  <dimension ref="A1:D11"/>
  <sheetViews>
    <sheetView workbookViewId="0"/>
  </sheetViews>
  <sheetFormatPr defaultRowHeight="16.5" x14ac:dyDescent="0.3"/>
  <cols>
    <col min="1" max="1" width="9.5" bestFit="1" customWidth="1"/>
    <col min="2" max="2" width="6.75" customWidth="1"/>
    <col min="4" max="4" width="10.375" customWidth="1"/>
  </cols>
  <sheetData>
    <row r="1" spans="1:4" x14ac:dyDescent="0.3">
      <c r="A1" s="1" t="s">
        <v>16</v>
      </c>
      <c r="B1" s="1" t="s">
        <v>17</v>
      </c>
      <c r="C1" s="1" t="s">
        <v>18</v>
      </c>
      <c r="D1" s="1" t="s">
        <v>19</v>
      </c>
    </row>
    <row r="2" spans="1:4" x14ac:dyDescent="0.3">
      <c r="A2" s="1" t="s">
        <v>20</v>
      </c>
      <c r="B2" s="1">
        <v>20</v>
      </c>
      <c r="C2" s="2">
        <v>240000</v>
      </c>
      <c r="D2" s="14">
        <v>8370</v>
      </c>
    </row>
    <row r="3" spans="1:4" x14ac:dyDescent="0.3">
      <c r="A3" s="1" t="s">
        <v>21</v>
      </c>
      <c r="B3" s="1">
        <v>7</v>
      </c>
      <c r="C3" s="2">
        <v>84000</v>
      </c>
      <c r="D3" s="14">
        <v>312000</v>
      </c>
    </row>
    <row r="4" spans="1:4" x14ac:dyDescent="0.3">
      <c r="A4" s="1" t="s">
        <v>22</v>
      </c>
      <c r="B4" s="1">
        <v>7</v>
      </c>
      <c r="C4" s="2">
        <v>80500</v>
      </c>
      <c r="D4" s="14">
        <v>156000</v>
      </c>
    </row>
    <row r="5" spans="1:4" x14ac:dyDescent="0.3">
      <c r="A5" s="1" t="s">
        <v>23</v>
      </c>
      <c r="B5" s="1">
        <v>12</v>
      </c>
      <c r="C5" s="2">
        <v>300000</v>
      </c>
      <c r="D5" s="14">
        <v>0</v>
      </c>
    </row>
    <row r="6" spans="1:4" x14ac:dyDescent="0.3">
      <c r="A6" s="1" t="s">
        <v>24</v>
      </c>
      <c r="B6" s="1">
        <v>12</v>
      </c>
      <c r="C6" s="2">
        <v>150000</v>
      </c>
      <c r="D6" s="14">
        <v>38700</v>
      </c>
    </row>
    <row r="7" spans="1:4" x14ac:dyDescent="0.3">
      <c r="A7" s="1" t="s">
        <v>22</v>
      </c>
      <c r="B7" s="1">
        <v>7</v>
      </c>
      <c r="C7" s="2">
        <v>80500</v>
      </c>
      <c r="D7" s="14">
        <v>97000</v>
      </c>
    </row>
    <row r="8" spans="1:4" x14ac:dyDescent="0.3">
      <c r="A8" s="1" t="s">
        <v>25</v>
      </c>
      <c r="B8" s="1">
        <v>15</v>
      </c>
      <c r="C8" s="2">
        <v>278250</v>
      </c>
      <c r="D8" s="14">
        <v>702000</v>
      </c>
    </row>
    <row r="9" spans="1:4" x14ac:dyDescent="0.3">
      <c r="A9" s="1" t="s">
        <v>24</v>
      </c>
      <c r="B9" s="1">
        <v>15</v>
      </c>
      <c r="C9" s="2">
        <v>180000</v>
      </c>
      <c r="D9" s="14">
        <v>58000</v>
      </c>
    </row>
    <row r="10" spans="1:4" x14ac:dyDescent="0.3">
      <c r="A10" s="1" t="s">
        <v>25</v>
      </c>
      <c r="B10" s="1">
        <v>8</v>
      </c>
      <c r="C10" s="2">
        <v>85000</v>
      </c>
      <c r="D10" s="14">
        <v>93000</v>
      </c>
    </row>
    <row r="11" spans="1:4" x14ac:dyDescent="0.3">
      <c r="A11" s="1" t="s">
        <v>23</v>
      </c>
      <c r="B11" s="1">
        <v>20</v>
      </c>
      <c r="C11" s="2">
        <v>280000</v>
      </c>
      <c r="D11" s="14">
        <v>49000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179F-5A03-439A-8B2C-D1C7F72519D0}">
  <sheetPr codeName="Sheet3"/>
  <dimension ref="A1:D7"/>
  <sheetViews>
    <sheetView workbookViewId="0"/>
  </sheetViews>
  <sheetFormatPr defaultRowHeight="16.5" x14ac:dyDescent="0.3"/>
  <cols>
    <col min="1" max="1" width="7.125" bestFit="1" customWidth="1"/>
    <col min="2" max="3" width="9" customWidth="1"/>
    <col min="4" max="4" width="12.375" bestFit="1" customWidth="1"/>
  </cols>
  <sheetData>
    <row r="1" spans="1:4" x14ac:dyDescent="0.3">
      <c r="A1" s="1" t="s">
        <v>26</v>
      </c>
      <c r="B1" s="3" t="s">
        <v>27</v>
      </c>
      <c r="C1" s="3" t="s">
        <v>28</v>
      </c>
      <c r="D1" s="3" t="s">
        <v>29</v>
      </c>
    </row>
    <row r="2" spans="1:4" x14ac:dyDescent="0.3">
      <c r="A2" s="1" t="s">
        <v>30</v>
      </c>
      <c r="B2" s="4">
        <v>200</v>
      </c>
      <c r="C2" s="4">
        <v>220</v>
      </c>
      <c r="D2" s="15">
        <v>2640000</v>
      </c>
    </row>
    <row r="3" spans="1:4" x14ac:dyDescent="0.3">
      <c r="A3" s="1" t="s">
        <v>31</v>
      </c>
      <c r="B3" s="4">
        <v>300</v>
      </c>
      <c r="C3" s="4">
        <v>220</v>
      </c>
      <c r="D3" s="15">
        <v>6600000</v>
      </c>
    </row>
    <row r="4" spans="1:4" x14ac:dyDescent="0.3">
      <c r="A4" s="1" t="s">
        <v>32</v>
      </c>
      <c r="B4" s="4">
        <v>150</v>
      </c>
      <c r="C4" s="4">
        <v>120</v>
      </c>
      <c r="D4" s="15">
        <v>1440000</v>
      </c>
    </row>
    <row r="5" spans="1:4" x14ac:dyDescent="0.3">
      <c r="A5" s="1" t="s">
        <v>33</v>
      </c>
      <c r="B5" s="4">
        <v>120</v>
      </c>
      <c r="C5" s="1" t="s">
        <v>36</v>
      </c>
      <c r="D5" s="15">
        <v>0</v>
      </c>
    </row>
    <row r="6" spans="1:4" x14ac:dyDescent="0.3">
      <c r="A6" s="1" t="s">
        <v>34</v>
      </c>
      <c r="B6" s="4">
        <v>200</v>
      </c>
      <c r="C6" s="4">
        <v>210</v>
      </c>
      <c r="D6" s="15">
        <v>6300000</v>
      </c>
    </row>
    <row r="7" spans="1:4" x14ac:dyDescent="0.3">
      <c r="A7" s="1" t="s">
        <v>35</v>
      </c>
      <c r="B7" s="4">
        <v>150</v>
      </c>
      <c r="C7" s="4">
        <v>150</v>
      </c>
      <c r="D7" s="15">
        <v>4500000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51B3C-AD54-436A-8DC5-A926E947DF52}">
  <sheetPr codeName="Sheet4"/>
  <dimension ref="A1:D8"/>
  <sheetViews>
    <sheetView workbookViewId="0"/>
  </sheetViews>
  <sheetFormatPr defaultRowHeight="16.5" x14ac:dyDescent="0.3"/>
  <cols>
    <col min="1" max="3" width="7.75" customWidth="1"/>
    <col min="4" max="4" width="8.125" customWidth="1"/>
  </cols>
  <sheetData>
    <row r="1" spans="1:4" x14ac:dyDescent="0.3">
      <c r="A1" s="1" t="s">
        <v>37</v>
      </c>
      <c r="B1" s="1" t="s">
        <v>38</v>
      </c>
      <c r="C1" s="1" t="s">
        <v>39</v>
      </c>
      <c r="D1" s="1" t="s">
        <v>40</v>
      </c>
    </row>
    <row r="2" spans="1:4" x14ac:dyDescent="0.3">
      <c r="A2" s="1" t="s">
        <v>41</v>
      </c>
      <c r="B2" s="1">
        <v>48</v>
      </c>
      <c r="C2" s="1">
        <v>42</v>
      </c>
      <c r="D2" s="16">
        <f t="shared" ref="D2:D8" si="0">SUM(B2:C2)</f>
        <v>90</v>
      </c>
    </row>
    <row r="3" spans="1:4" x14ac:dyDescent="0.3">
      <c r="A3" s="1" t="s">
        <v>42</v>
      </c>
      <c r="B3" s="1">
        <v>39</v>
      </c>
      <c r="C3" s="1">
        <v>40</v>
      </c>
      <c r="D3" s="16">
        <f t="shared" si="0"/>
        <v>79</v>
      </c>
    </row>
    <row r="4" spans="1:4" x14ac:dyDescent="0.3">
      <c r="A4" s="1" t="s">
        <v>43</v>
      </c>
      <c r="B4" s="1">
        <v>43</v>
      </c>
      <c r="C4" s="1">
        <v>38</v>
      </c>
      <c r="D4" s="16">
        <f t="shared" si="0"/>
        <v>81</v>
      </c>
    </row>
    <row r="5" spans="1:4" x14ac:dyDescent="0.3">
      <c r="A5" s="1" t="s">
        <v>44</v>
      </c>
      <c r="B5" s="1">
        <v>39</v>
      </c>
      <c r="C5" s="1">
        <v>49</v>
      </c>
      <c r="D5" s="16">
        <f t="shared" si="0"/>
        <v>88</v>
      </c>
    </row>
    <row r="6" spans="1:4" x14ac:dyDescent="0.3">
      <c r="A6" s="1" t="s">
        <v>45</v>
      </c>
      <c r="B6" s="1">
        <v>45</v>
      </c>
      <c r="C6" s="1">
        <v>49</v>
      </c>
      <c r="D6" s="16">
        <f t="shared" si="0"/>
        <v>94</v>
      </c>
    </row>
    <row r="7" spans="1:4" x14ac:dyDescent="0.3">
      <c r="A7" s="1" t="s">
        <v>46</v>
      </c>
      <c r="B7" s="1">
        <v>29</v>
      </c>
      <c r="C7" s="1">
        <v>23</v>
      </c>
      <c r="D7" s="16">
        <f t="shared" si="0"/>
        <v>52</v>
      </c>
    </row>
    <row r="8" spans="1:4" x14ac:dyDescent="0.3">
      <c r="A8" s="1" t="s">
        <v>47</v>
      </c>
      <c r="B8" s="1">
        <v>41</v>
      </c>
      <c r="C8" s="1">
        <v>20</v>
      </c>
      <c r="D8" s="16">
        <f t="shared" si="0"/>
        <v>61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F7FD2-28B1-4D09-B5F0-69BB7D53B9EA}">
  <sheetPr codeName="Sheet5">
    <tabColor theme="9" tint="0.59999389629810485"/>
  </sheetPr>
  <dimension ref="A1:E8"/>
  <sheetViews>
    <sheetView workbookViewId="0"/>
  </sheetViews>
  <sheetFormatPr defaultRowHeight="16.5" x14ac:dyDescent="0.3"/>
  <cols>
    <col min="2" max="2" width="10.875" customWidth="1"/>
    <col min="3" max="3" width="10.375" customWidth="1"/>
    <col min="4" max="4" width="10.5" customWidth="1"/>
    <col min="5" max="5" width="14.5" customWidth="1"/>
  </cols>
  <sheetData>
    <row r="1" spans="1:5" x14ac:dyDescent="0.3">
      <c r="A1" s="5" t="s">
        <v>54</v>
      </c>
      <c r="B1" s="5" t="s">
        <v>55</v>
      </c>
      <c r="C1" s="5" t="s">
        <v>56</v>
      </c>
      <c r="D1" s="6" t="s">
        <v>18</v>
      </c>
      <c r="E1" s="5" t="s">
        <v>57</v>
      </c>
    </row>
    <row r="2" spans="1:5" x14ac:dyDescent="0.3">
      <c r="A2" s="5" t="s">
        <v>58</v>
      </c>
      <c r="B2" s="17">
        <v>1500000</v>
      </c>
      <c r="C2" s="18">
        <v>100</v>
      </c>
      <c r="D2" s="19">
        <v>3560000</v>
      </c>
      <c r="E2" s="20">
        <v>250</v>
      </c>
    </row>
    <row r="3" spans="1:5" x14ac:dyDescent="0.3">
      <c r="A3" s="5" t="s">
        <v>48</v>
      </c>
      <c r="B3" s="17">
        <v>-250000</v>
      </c>
      <c r="C3" s="18">
        <v>49</v>
      </c>
      <c r="D3" s="19">
        <v>500000</v>
      </c>
      <c r="E3" s="20">
        <v>5</v>
      </c>
    </row>
    <row r="4" spans="1:5" x14ac:dyDescent="0.3">
      <c r="A4" s="5" t="s">
        <v>49</v>
      </c>
      <c r="B4" s="17">
        <v>0</v>
      </c>
      <c r="C4" s="18">
        <v>39</v>
      </c>
      <c r="D4" s="19">
        <v>940000</v>
      </c>
      <c r="E4" s="20">
        <v>50</v>
      </c>
    </row>
    <row r="5" spans="1:5" x14ac:dyDescent="0.3">
      <c r="A5" s="5" t="s">
        <v>50</v>
      </c>
      <c r="B5" s="17">
        <v>225000</v>
      </c>
      <c r="C5" s="18">
        <v>89</v>
      </c>
      <c r="D5" s="19">
        <v>7300000</v>
      </c>
      <c r="E5" s="20">
        <v>120</v>
      </c>
    </row>
    <row r="6" spans="1:5" x14ac:dyDescent="0.3">
      <c r="A6" s="5" t="s">
        <v>51</v>
      </c>
      <c r="B6" s="17">
        <v>-25402</v>
      </c>
      <c r="C6" s="18">
        <v>99</v>
      </c>
      <c r="D6" s="19">
        <v>950000</v>
      </c>
      <c r="E6" s="20">
        <v>9</v>
      </c>
    </row>
    <row r="7" spans="1:5" x14ac:dyDescent="0.3">
      <c r="A7" s="5" t="s">
        <v>52</v>
      </c>
      <c r="B7" s="17" t="s">
        <v>144</v>
      </c>
      <c r="C7" s="18">
        <v>109</v>
      </c>
      <c r="D7" s="19">
        <v>0</v>
      </c>
      <c r="E7" s="20">
        <v>102</v>
      </c>
    </row>
    <row r="8" spans="1:5" x14ac:dyDescent="0.3">
      <c r="A8" s="5" t="s">
        <v>53</v>
      </c>
      <c r="B8" s="17">
        <v>550000</v>
      </c>
      <c r="C8" s="18">
        <v>201</v>
      </c>
      <c r="D8" s="19">
        <v>1000000</v>
      </c>
      <c r="E8" s="20">
        <v>78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4F13-41C1-48D8-BB8D-606E451AC6E6}">
  <sheetPr codeName="Sheet6">
    <tabColor theme="7" tint="0.59999389629810485"/>
  </sheetPr>
  <dimension ref="A1:F15"/>
  <sheetViews>
    <sheetView workbookViewId="0">
      <selection sqref="A1:F1"/>
    </sheetView>
  </sheetViews>
  <sheetFormatPr defaultRowHeight="16.5" x14ac:dyDescent="0.3"/>
  <cols>
    <col min="1" max="1" width="7.125" bestFit="1" customWidth="1"/>
    <col min="3" max="3" width="7.125" bestFit="1" customWidth="1"/>
    <col min="5" max="5" width="10" bestFit="1" customWidth="1"/>
    <col min="6" max="6" width="7.5" bestFit="1" customWidth="1"/>
    <col min="7" max="7" width="2" customWidth="1"/>
    <col min="8" max="8" width="13.125" customWidth="1"/>
  </cols>
  <sheetData>
    <row r="1" spans="1:6" ht="20.25" x14ac:dyDescent="0.3">
      <c r="A1" s="12" t="s">
        <v>74</v>
      </c>
      <c r="B1" s="12"/>
      <c r="C1" s="12"/>
      <c r="D1" s="12"/>
      <c r="E1" s="12"/>
      <c r="F1" s="12"/>
    </row>
    <row r="3" spans="1:6" x14ac:dyDescent="0.3">
      <c r="A3" s="1" t="s">
        <v>37</v>
      </c>
      <c r="B3" s="1" t="s">
        <v>59</v>
      </c>
      <c r="C3" s="1" t="s">
        <v>75</v>
      </c>
      <c r="D3" s="1" t="s">
        <v>60</v>
      </c>
      <c r="E3" s="21" t="s">
        <v>61</v>
      </c>
      <c r="F3" s="1" t="s">
        <v>62</v>
      </c>
    </row>
    <row r="4" spans="1:6" x14ac:dyDescent="0.3">
      <c r="A4" s="1" t="s">
        <v>63</v>
      </c>
      <c r="B4" s="1" t="s">
        <v>64</v>
      </c>
      <c r="C4" s="1">
        <v>1</v>
      </c>
      <c r="D4" s="23">
        <v>90</v>
      </c>
      <c r="E4" s="23">
        <v>88</v>
      </c>
      <c r="F4" s="4">
        <v>89</v>
      </c>
    </row>
    <row r="5" spans="1:6" x14ac:dyDescent="0.3">
      <c r="A5" s="1" t="s">
        <v>65</v>
      </c>
      <c r="B5" s="1" t="s">
        <v>66</v>
      </c>
      <c r="C5" s="1">
        <v>3</v>
      </c>
      <c r="D5" s="23">
        <v>100</v>
      </c>
      <c r="E5" s="23">
        <v>59</v>
      </c>
      <c r="F5" s="4">
        <v>79.5</v>
      </c>
    </row>
    <row r="6" spans="1:6" x14ac:dyDescent="0.3">
      <c r="A6" s="1" t="s">
        <v>67</v>
      </c>
      <c r="B6" s="1" t="s">
        <v>68</v>
      </c>
      <c r="C6" s="1">
        <v>2</v>
      </c>
      <c r="D6" s="23">
        <v>87</v>
      </c>
      <c r="E6" s="23">
        <v>95</v>
      </c>
      <c r="F6" s="4">
        <v>91</v>
      </c>
    </row>
    <row r="7" spans="1:6" x14ac:dyDescent="0.3">
      <c r="A7" s="1" t="s">
        <v>69</v>
      </c>
      <c r="B7" s="1" t="s">
        <v>66</v>
      </c>
      <c r="C7" s="1">
        <v>8</v>
      </c>
      <c r="D7" s="23">
        <v>85</v>
      </c>
      <c r="E7" s="23">
        <v>82</v>
      </c>
      <c r="F7" s="4">
        <v>83.5</v>
      </c>
    </row>
    <row r="8" spans="1:6" x14ac:dyDescent="0.3">
      <c r="A8" s="1" t="s">
        <v>70</v>
      </c>
      <c r="B8" s="1" t="s">
        <v>64</v>
      </c>
      <c r="C8" s="1">
        <v>5</v>
      </c>
      <c r="D8" s="23">
        <v>46</v>
      </c>
      <c r="E8" s="23">
        <v>75</v>
      </c>
      <c r="F8" s="4">
        <v>60.5</v>
      </c>
    </row>
    <row r="9" spans="1:6" x14ac:dyDescent="0.3">
      <c r="A9" s="1" t="s">
        <v>71</v>
      </c>
      <c r="B9" s="1" t="s">
        <v>68</v>
      </c>
      <c r="C9" s="1">
        <v>6</v>
      </c>
      <c r="D9" s="23">
        <v>66</v>
      </c>
      <c r="E9" s="23">
        <v>59</v>
      </c>
      <c r="F9" s="4">
        <v>62.5</v>
      </c>
    </row>
    <row r="10" spans="1:6" x14ac:dyDescent="0.3">
      <c r="A10" s="1" t="s">
        <v>72</v>
      </c>
      <c r="B10" s="1" t="s">
        <v>64</v>
      </c>
      <c r="C10" s="1">
        <v>4</v>
      </c>
      <c r="D10" s="23">
        <v>68</v>
      </c>
      <c r="E10" s="23">
        <v>88</v>
      </c>
      <c r="F10" s="4">
        <v>78</v>
      </c>
    </row>
    <row r="11" spans="1:6" x14ac:dyDescent="0.3">
      <c r="A11" s="1" t="s">
        <v>73</v>
      </c>
      <c r="B11" s="1" t="s">
        <v>68</v>
      </c>
      <c r="C11" s="1">
        <v>2</v>
      </c>
      <c r="D11" s="23">
        <v>90</v>
      </c>
      <c r="E11" s="23">
        <v>95</v>
      </c>
      <c r="F11" s="4">
        <v>92.5</v>
      </c>
    </row>
    <row r="12" spans="1:6" x14ac:dyDescent="0.3">
      <c r="E12" s="22"/>
    </row>
    <row r="13" spans="1:6" x14ac:dyDescent="0.3">
      <c r="E13" s="22"/>
    </row>
    <row r="14" spans="1:6" x14ac:dyDescent="0.3">
      <c r="E14" s="22"/>
    </row>
    <row r="15" spans="1:6" x14ac:dyDescent="0.3">
      <c r="E15" s="22"/>
    </row>
  </sheetData>
  <mergeCells count="1">
    <mergeCell ref="A1:F1"/>
  </mergeCells>
  <phoneticPr fontId="2" type="noConversion"/>
  <conditionalFormatting sqref="F4:F11">
    <cfRule type="iconSet" priority="1">
      <iconSet iconSet="4TrafficLights">
        <cfvo type="percent" val="0"/>
        <cfvo type="num" val="70"/>
        <cfvo type="num" val="80"/>
        <cfvo type="num" val="9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표시형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그래프보기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1DC0-E548-4E53-8FF5-5AC04C9CFF66}">
  <sheetPr codeName="Sheet7">
    <tabColor theme="7" tint="0.59999389629810485"/>
  </sheetPr>
  <dimension ref="A1:E12"/>
  <sheetViews>
    <sheetView workbookViewId="0"/>
  </sheetViews>
  <sheetFormatPr defaultRowHeight="16.5" x14ac:dyDescent="0.3"/>
  <cols>
    <col min="1" max="1" width="9.125" customWidth="1"/>
    <col min="2" max="2" width="9" bestFit="1" customWidth="1"/>
    <col min="3" max="3" width="7.375" bestFit="1" customWidth="1"/>
    <col min="4" max="4" width="7.75" bestFit="1" customWidth="1"/>
    <col min="5" max="5" width="11" bestFit="1" customWidth="1"/>
    <col min="6" max="6" width="0.875" customWidth="1"/>
    <col min="7" max="7" width="11.25" customWidth="1"/>
  </cols>
  <sheetData>
    <row r="1" spans="1:5" x14ac:dyDescent="0.3">
      <c r="A1" t="s">
        <v>76</v>
      </c>
    </row>
    <row r="3" spans="1:5" x14ac:dyDescent="0.3">
      <c r="A3" s="1" t="s">
        <v>77</v>
      </c>
      <c r="B3" s="1" t="s">
        <v>78</v>
      </c>
      <c r="C3" s="1" t="s">
        <v>79</v>
      </c>
      <c r="D3" s="1" t="s">
        <v>80</v>
      </c>
      <c r="E3" s="1" t="s">
        <v>81</v>
      </c>
    </row>
    <row r="4" spans="1:5" x14ac:dyDescent="0.3">
      <c r="A4" s="1" t="s">
        <v>82</v>
      </c>
      <c r="B4" s="1" t="s">
        <v>83</v>
      </c>
      <c r="C4" s="2">
        <v>800</v>
      </c>
      <c r="D4" s="24">
        <v>0</v>
      </c>
      <c r="E4" s="2">
        <v>1000</v>
      </c>
    </row>
    <row r="5" spans="1:5" x14ac:dyDescent="0.3">
      <c r="A5" s="1" t="s">
        <v>84</v>
      </c>
      <c r="B5" s="1" t="s">
        <v>85</v>
      </c>
      <c r="C5" s="2">
        <v>2000</v>
      </c>
      <c r="D5" s="24">
        <v>0.112</v>
      </c>
      <c r="E5" s="2">
        <v>2500</v>
      </c>
    </row>
    <row r="6" spans="1:5" x14ac:dyDescent="0.3">
      <c r="A6" s="1" t="s">
        <v>86</v>
      </c>
      <c r="B6" s="1" t="s">
        <v>87</v>
      </c>
      <c r="C6" s="2">
        <v>960</v>
      </c>
      <c r="D6" s="24">
        <v>3.5000000000000003E-2</v>
      </c>
      <c r="E6" s="2">
        <v>1200</v>
      </c>
    </row>
    <row r="7" spans="1:5" x14ac:dyDescent="0.3">
      <c r="A7" s="1" t="s">
        <v>88</v>
      </c>
      <c r="B7" s="1" t="s">
        <v>89</v>
      </c>
      <c r="C7" s="2">
        <v>720</v>
      </c>
      <c r="D7" s="24">
        <v>5.7000000000000002E-2</v>
      </c>
      <c r="E7" s="2">
        <v>900</v>
      </c>
    </row>
    <row r="8" spans="1:5" x14ac:dyDescent="0.3">
      <c r="A8" s="1" t="s">
        <v>90</v>
      </c>
      <c r="B8" s="1" t="s">
        <v>91</v>
      </c>
      <c r="C8" s="2">
        <v>1200</v>
      </c>
      <c r="D8" s="24">
        <v>0.20399999999999999</v>
      </c>
      <c r="E8" s="2">
        <v>1500</v>
      </c>
    </row>
    <row r="9" spans="1:5" x14ac:dyDescent="0.3">
      <c r="A9" s="1" t="s">
        <v>92</v>
      </c>
      <c r="B9" s="1" t="s">
        <v>93</v>
      </c>
      <c r="C9" s="2">
        <v>2800</v>
      </c>
      <c r="D9" s="24">
        <v>0.114</v>
      </c>
      <c r="E9" s="2">
        <v>3500</v>
      </c>
    </row>
    <row r="10" spans="1:5" x14ac:dyDescent="0.3">
      <c r="A10" s="1" t="s">
        <v>94</v>
      </c>
      <c r="B10" s="1" t="s">
        <v>83</v>
      </c>
      <c r="C10" s="2">
        <v>640</v>
      </c>
      <c r="D10" s="24">
        <v>6.2E-2</v>
      </c>
      <c r="E10" s="2">
        <v>800</v>
      </c>
    </row>
    <row r="11" spans="1:5" x14ac:dyDescent="0.3">
      <c r="A11" s="1" t="s">
        <v>95</v>
      </c>
      <c r="B11" s="1" t="s">
        <v>85</v>
      </c>
      <c r="C11" s="2">
        <v>720</v>
      </c>
      <c r="D11" s="24">
        <v>8.4000000000000005E-2</v>
      </c>
      <c r="E11" s="2">
        <v>900</v>
      </c>
    </row>
    <row r="12" spans="1:5" x14ac:dyDescent="0.3">
      <c r="A12" s="1" t="s">
        <v>96</v>
      </c>
      <c r="B12" s="1" t="s">
        <v>87</v>
      </c>
      <c r="C12" s="2">
        <v>1200</v>
      </c>
      <c r="D12" s="24">
        <v>0.23899999999999999</v>
      </c>
      <c r="E12" s="2">
        <v>1500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4A98-A752-4278-9C82-9B73993D5BF8}">
  <sheetPr codeName="Sheet8">
    <tabColor theme="7" tint="0.59999389629810485"/>
  </sheetPr>
  <dimension ref="A1:E15"/>
  <sheetViews>
    <sheetView workbookViewId="0"/>
  </sheetViews>
  <sheetFormatPr defaultRowHeight="16.5" x14ac:dyDescent="0.3"/>
  <cols>
    <col min="1" max="1" width="7.875" customWidth="1"/>
    <col min="2" max="2" width="14.125" bestFit="1" customWidth="1"/>
    <col min="3" max="3" width="11.875" bestFit="1" customWidth="1"/>
    <col min="4" max="4" width="9" bestFit="1" customWidth="1"/>
    <col min="5" max="5" width="11.875" customWidth="1"/>
    <col min="6" max="6" width="1.5" customWidth="1"/>
    <col min="7" max="7" width="13" customWidth="1"/>
  </cols>
  <sheetData>
    <row r="1" spans="1:5" x14ac:dyDescent="0.3">
      <c r="A1" s="7"/>
      <c r="C1" s="7"/>
      <c r="D1" s="7"/>
      <c r="E1" s="7"/>
    </row>
    <row r="2" spans="1:5" x14ac:dyDescent="0.3">
      <c r="A2" s="1" t="s">
        <v>37</v>
      </c>
      <c r="B2" s="1" t="s">
        <v>97</v>
      </c>
      <c r="C2" s="1" t="s">
        <v>98</v>
      </c>
      <c r="D2" s="1" t="s">
        <v>99</v>
      </c>
      <c r="E2" s="1" t="s">
        <v>100</v>
      </c>
    </row>
    <row r="3" spans="1:5" x14ac:dyDescent="0.3">
      <c r="A3" s="1" t="s">
        <v>101</v>
      </c>
      <c r="B3" s="8" t="s">
        <v>102</v>
      </c>
      <c r="C3" s="9">
        <v>26300000</v>
      </c>
      <c r="D3" s="1" t="s">
        <v>103</v>
      </c>
      <c r="E3" s="25">
        <v>8153000</v>
      </c>
    </row>
    <row r="4" spans="1:5" x14ac:dyDescent="0.3">
      <c r="A4" s="1" t="s">
        <v>104</v>
      </c>
      <c r="B4" s="8" t="s">
        <v>105</v>
      </c>
      <c r="C4" s="9">
        <v>55300000</v>
      </c>
      <c r="D4" s="1" t="s">
        <v>106</v>
      </c>
      <c r="E4" s="25">
        <v>49770000</v>
      </c>
    </row>
    <row r="5" spans="1:5" x14ac:dyDescent="0.3">
      <c r="A5" s="1" t="s">
        <v>107</v>
      </c>
      <c r="B5" s="8" t="s">
        <v>108</v>
      </c>
      <c r="C5" s="9">
        <v>15300000</v>
      </c>
      <c r="D5" s="1" t="s">
        <v>106</v>
      </c>
      <c r="E5" s="25">
        <v>8262000</v>
      </c>
    </row>
    <row r="6" spans="1:5" x14ac:dyDescent="0.3">
      <c r="A6" s="1" t="s">
        <v>109</v>
      </c>
      <c r="B6" s="8" t="s">
        <v>110</v>
      </c>
      <c r="C6" s="9">
        <v>66300000</v>
      </c>
      <c r="D6" s="1" t="s">
        <v>111</v>
      </c>
      <c r="E6" s="25">
        <v>43095000</v>
      </c>
    </row>
    <row r="7" spans="1:5" x14ac:dyDescent="0.3">
      <c r="A7" s="1" t="s">
        <v>112</v>
      </c>
      <c r="B7" s="8" t="s">
        <v>113</v>
      </c>
      <c r="C7" s="9">
        <v>66100000</v>
      </c>
      <c r="D7" s="1" t="s">
        <v>103</v>
      </c>
      <c r="E7" s="25">
        <v>46931000</v>
      </c>
    </row>
    <row r="8" spans="1:5" x14ac:dyDescent="0.3">
      <c r="A8" s="1" t="s">
        <v>114</v>
      </c>
      <c r="B8" s="8" t="s">
        <v>115</v>
      </c>
      <c r="C8" s="9">
        <v>11200000</v>
      </c>
      <c r="D8" s="1" t="s">
        <v>111</v>
      </c>
      <c r="E8" s="25">
        <v>7392000</v>
      </c>
    </row>
    <row r="9" spans="1:5" x14ac:dyDescent="0.3">
      <c r="A9" s="1" t="s">
        <v>116</v>
      </c>
      <c r="B9" s="8" t="s">
        <v>117</v>
      </c>
      <c r="C9" s="9">
        <v>73800000</v>
      </c>
      <c r="D9" s="1" t="s">
        <v>106</v>
      </c>
      <c r="E9" s="25">
        <v>47232000</v>
      </c>
    </row>
    <row r="10" spans="1:5" x14ac:dyDescent="0.3">
      <c r="A10" s="1" t="s">
        <v>118</v>
      </c>
      <c r="B10" s="8" t="s">
        <v>119</v>
      </c>
      <c r="C10" s="9">
        <v>94600000</v>
      </c>
      <c r="D10" s="1" t="s">
        <v>106</v>
      </c>
      <c r="E10" s="25">
        <v>59598000</v>
      </c>
    </row>
    <row r="11" spans="1:5" x14ac:dyDescent="0.3">
      <c r="A11" s="1" t="s">
        <v>120</v>
      </c>
      <c r="B11" s="8" t="s">
        <v>121</v>
      </c>
      <c r="C11" s="9">
        <v>54700000</v>
      </c>
      <c r="D11" s="1" t="s">
        <v>103</v>
      </c>
      <c r="E11" s="25">
        <v>30085000</v>
      </c>
    </row>
    <row r="12" spans="1:5" x14ac:dyDescent="0.3">
      <c r="A12" s="1" t="s">
        <v>122</v>
      </c>
      <c r="B12" s="8" t="s">
        <v>123</v>
      </c>
      <c r="C12" s="9">
        <v>83100000</v>
      </c>
      <c r="D12" s="1" t="s">
        <v>106</v>
      </c>
      <c r="E12" s="25">
        <v>37395000</v>
      </c>
    </row>
    <row r="13" spans="1:5" x14ac:dyDescent="0.3">
      <c r="A13" s="1" t="s">
        <v>124</v>
      </c>
      <c r="B13" s="8" t="s">
        <v>125</v>
      </c>
      <c r="C13" s="9">
        <v>76300000</v>
      </c>
      <c r="D13" s="1" t="s">
        <v>126</v>
      </c>
      <c r="E13" s="25">
        <v>38913000</v>
      </c>
    </row>
    <row r="14" spans="1:5" x14ac:dyDescent="0.3">
      <c r="A14" s="1" t="s">
        <v>127</v>
      </c>
      <c r="B14" s="8" t="s">
        <v>128</v>
      </c>
      <c r="C14" s="10">
        <v>34800000</v>
      </c>
      <c r="D14" s="1" t="s">
        <v>126</v>
      </c>
      <c r="E14" s="25">
        <v>20532000</v>
      </c>
    </row>
    <row r="15" spans="1:5" x14ac:dyDescent="0.3">
      <c r="A15" s="1" t="s">
        <v>129</v>
      </c>
      <c r="B15" s="8" t="s">
        <v>130</v>
      </c>
      <c r="C15" s="10">
        <v>76800000</v>
      </c>
      <c r="D15" s="1" t="s">
        <v>106</v>
      </c>
      <c r="E15" s="25">
        <v>61440000</v>
      </c>
    </row>
  </sheetData>
  <phoneticPr fontId="2" type="noConversion"/>
  <conditionalFormatting sqref="A3:A9">
    <cfRule type="expression" dxfId="1" priority="2">
      <formula>AND(OR($E9="동부",$E9="서부"),#REF!&gt;=AVERAGE(#REF!))</formula>
    </cfRule>
  </conditionalFormatting>
  <conditionalFormatting sqref="A10:A15">
    <cfRule type="expression" dxfId="0" priority="3">
      <formula>AND(OR(#REF!="동부",#REF!="서부"),#REF!&gt;=AVERAGE(#REF!))</formula>
    </cfRule>
  </conditionalFormatting>
  <conditionalFormatting sqref="C3:C15">
    <cfRule type="colorScale" priority="1">
      <colorScale>
        <cfvo type="min"/>
        <cfvo type="num" val="50000000"/>
        <cfvo type="max"/>
        <color rgb="FFF8696B"/>
        <color theme="0"/>
        <color rgb="FF0070C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표시단위적용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색조보기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311FF-7CAA-4F80-A736-7A7CE86E0A5A}">
  <sheetPr codeName="Sheet9">
    <tabColor theme="7" tint="0.59999389629810485"/>
  </sheetPr>
  <dimension ref="A1:D11"/>
  <sheetViews>
    <sheetView workbookViewId="0"/>
  </sheetViews>
  <sheetFormatPr defaultRowHeight="16.5" x14ac:dyDescent="0.3"/>
  <cols>
    <col min="1" max="1" width="9.75" customWidth="1"/>
    <col min="2" max="3" width="11.875" bestFit="1" customWidth="1"/>
    <col min="4" max="4" width="15.875" bestFit="1" customWidth="1"/>
    <col min="5" max="5" width="2.875" customWidth="1"/>
  </cols>
  <sheetData>
    <row r="1" spans="1:4" x14ac:dyDescent="0.3">
      <c r="A1" t="s">
        <v>131</v>
      </c>
    </row>
    <row r="2" spans="1:4" x14ac:dyDescent="0.3">
      <c r="A2" s="1" t="s">
        <v>132</v>
      </c>
      <c r="B2" s="1" t="s">
        <v>2</v>
      </c>
      <c r="C2" s="1" t="s">
        <v>4</v>
      </c>
      <c r="D2" s="1" t="s">
        <v>133</v>
      </c>
    </row>
    <row r="3" spans="1:4" x14ac:dyDescent="0.3">
      <c r="A3" s="1" t="s">
        <v>134</v>
      </c>
      <c r="B3" s="11">
        <v>10854000</v>
      </c>
      <c r="C3" s="11">
        <v>9970000</v>
      </c>
      <c r="D3" s="26">
        <v>-8.8699999999999992</v>
      </c>
    </row>
    <row r="4" spans="1:4" x14ac:dyDescent="0.3">
      <c r="A4" s="1" t="s">
        <v>135</v>
      </c>
      <c r="B4" s="11">
        <v>16345000</v>
      </c>
      <c r="C4" s="11">
        <v>16016000</v>
      </c>
      <c r="D4" s="26">
        <v>-2.0499999999999998</v>
      </c>
    </row>
    <row r="5" spans="1:4" x14ac:dyDescent="0.3">
      <c r="A5" s="1" t="s">
        <v>136</v>
      </c>
      <c r="B5" s="11">
        <v>7602000</v>
      </c>
      <c r="C5" s="11">
        <v>7720000</v>
      </c>
      <c r="D5" s="26">
        <v>1.53</v>
      </c>
    </row>
    <row r="6" spans="1:4" x14ac:dyDescent="0.3">
      <c r="A6" s="1" t="s">
        <v>137</v>
      </c>
      <c r="B6" s="11">
        <v>3477000</v>
      </c>
      <c r="C6" s="11">
        <v>4347000</v>
      </c>
      <c r="D6" s="26">
        <v>20.010000000000002</v>
      </c>
    </row>
    <row r="7" spans="1:4" x14ac:dyDescent="0.3">
      <c r="A7" s="1" t="s">
        <v>138</v>
      </c>
      <c r="B7" s="11">
        <v>15380000</v>
      </c>
      <c r="C7" s="2">
        <v>14549000</v>
      </c>
      <c r="D7" s="26">
        <v>-5.71</v>
      </c>
    </row>
    <row r="8" spans="1:4" x14ac:dyDescent="0.3">
      <c r="A8" s="1" t="s">
        <v>139</v>
      </c>
      <c r="B8" s="11">
        <v>14512000</v>
      </c>
      <c r="C8" s="2">
        <v>14987000</v>
      </c>
      <c r="D8" s="26">
        <v>3.17</v>
      </c>
    </row>
    <row r="9" spans="1:4" x14ac:dyDescent="0.3">
      <c r="A9" s="1" t="s">
        <v>140</v>
      </c>
      <c r="B9" s="11">
        <v>5512000</v>
      </c>
      <c r="C9" s="2" t="s">
        <v>141</v>
      </c>
      <c r="D9" s="26">
        <v>0</v>
      </c>
    </row>
    <row r="10" spans="1:4" x14ac:dyDescent="0.3">
      <c r="A10" s="1" t="s">
        <v>142</v>
      </c>
      <c r="B10" s="11">
        <v>6405000</v>
      </c>
      <c r="C10" s="2">
        <v>6916000</v>
      </c>
      <c r="D10" s="26">
        <v>7.39</v>
      </c>
    </row>
    <row r="11" spans="1:4" x14ac:dyDescent="0.3">
      <c r="A11" s="1" t="s">
        <v>143</v>
      </c>
      <c r="B11" s="11">
        <v>14320000</v>
      </c>
      <c r="C11" s="2">
        <v>17571000</v>
      </c>
      <c r="D11" s="26">
        <v>18.5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서식적용2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서식해제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합격포인트_01-유형1</vt:lpstr>
      <vt:lpstr>01-유형2</vt:lpstr>
      <vt:lpstr>01-유형3</vt:lpstr>
      <vt:lpstr>01-유형4</vt:lpstr>
      <vt:lpstr>01_체크체크_①~④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2023-07-14T10:37:43Z</dcterms:created>
  <dcterms:modified xsi:type="dcterms:W3CDTF">2023-11-08T10:12:38Z</dcterms:modified>
</cp:coreProperties>
</file>