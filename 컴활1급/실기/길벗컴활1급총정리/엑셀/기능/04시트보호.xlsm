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0D27F2DA-E5E2-44F9-A7A6-C8D0B6150F8E}" xr6:coauthVersionLast="47" xr6:coauthVersionMax="47" xr10:uidLastSave="{00000000-0000-0000-0000-000000000000}"/>
  <bookViews>
    <workbookView xWindow="960" yWindow="1740" windowWidth="16860" windowHeight="13095" xr2:uid="{45B0CD26-B0C5-4461-9FCF-85CD18D3A161}"/>
  </bookViews>
  <sheets>
    <sheet name="합격포인트_01" sheetId="1" r:id="rId1"/>
    <sheet name="02" sheetId="2" r:id="rId2"/>
    <sheet name="03" sheetId="3" r:id="rId3"/>
    <sheet name="04" sheetId="4" r:id="rId4"/>
    <sheet name="05" sheetId="5" r:id="rId5"/>
    <sheet name="대표기출문제_기출1" sheetId="6" r:id="rId6"/>
    <sheet name="기출2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7" l="1"/>
  <c r="G3" i="7"/>
  <c r="F4" i="7"/>
  <c r="G4" i="7"/>
  <c r="F5" i="7"/>
  <c r="G5" i="7"/>
  <c r="F6" i="7"/>
  <c r="G6" i="7"/>
  <c r="F7" i="7"/>
  <c r="G7" i="7"/>
  <c r="F8" i="7"/>
  <c r="G8" i="7"/>
  <c r="F9" i="7"/>
  <c r="G9" i="7"/>
  <c r="F10" i="7"/>
  <c r="G10" i="7"/>
  <c r="G6" i="6"/>
  <c r="G7" i="6"/>
  <c r="G8" i="6"/>
  <c r="G9" i="6"/>
  <c r="G10" i="6"/>
  <c r="G11" i="6"/>
  <c r="G12" i="6"/>
  <c r="G13" i="6"/>
  <c r="G12" i="5"/>
  <c r="G11" i="5"/>
  <c r="G10" i="5"/>
  <c r="G9" i="5"/>
  <c r="G8" i="5"/>
  <c r="G7" i="5"/>
  <c r="G6" i="5"/>
  <c r="G12" i="4"/>
  <c r="G11" i="4"/>
  <c r="G10" i="4"/>
  <c r="G9" i="4"/>
  <c r="G8" i="4"/>
  <c r="G7" i="4"/>
  <c r="G6" i="4"/>
  <c r="G12" i="3"/>
  <c r="G11" i="3"/>
  <c r="G10" i="3"/>
  <c r="G9" i="3"/>
  <c r="G8" i="3"/>
  <c r="G7" i="3"/>
  <c r="G6" i="3"/>
  <c r="G12" i="2"/>
  <c r="G11" i="2"/>
  <c r="G10" i="2"/>
  <c r="G9" i="2"/>
  <c r="G8" i="2"/>
  <c r="G7" i="2"/>
  <c r="G6" i="2"/>
  <c r="G7" i="1"/>
  <c r="G8" i="1"/>
  <c r="G9" i="1"/>
  <c r="G10" i="1"/>
  <c r="G11" i="1"/>
  <c r="G12" i="1"/>
  <c r="G6" i="1"/>
</calcChain>
</file>

<file path=xl/sharedStrings.xml><?xml version="1.0" encoding="utf-8"?>
<sst xmlns="http://schemas.openxmlformats.org/spreadsheetml/2006/main" count="127" uniqueCount="65">
  <si>
    <t>차량명</t>
  </si>
  <si>
    <t>차량총액</t>
  </si>
  <si>
    <t>인도금</t>
  </si>
  <si>
    <t>할부원금</t>
  </si>
  <si>
    <t>상환기간(월)</t>
  </si>
  <si>
    <t>월납입금</t>
  </si>
  <si>
    <t>싼타매</t>
  </si>
  <si>
    <t>코란다</t>
  </si>
  <si>
    <t>SN5</t>
  </si>
  <si>
    <t>크루지</t>
  </si>
  <si>
    <t>윈스타</t>
  </si>
  <si>
    <t>KS7</t>
  </si>
  <si>
    <t>그랜지</t>
  </si>
  <si>
    <t>코드</t>
  </si>
  <si>
    <t>제품명</t>
  </si>
  <si>
    <t>제조사</t>
  </si>
  <si>
    <t>구분</t>
  </si>
  <si>
    <t>동아제약</t>
  </si>
  <si>
    <t>부루펜시럽</t>
  </si>
  <si>
    <t>삼일제약</t>
  </si>
  <si>
    <t>후시딘</t>
  </si>
  <si>
    <t>동화약품</t>
  </si>
  <si>
    <t>평균가</t>
  </si>
  <si>
    <t>최저가격</t>
  </si>
  <si>
    <t>순위</t>
  </si>
  <si>
    <t>DH1897</t>
  </si>
  <si>
    <t>위생천</t>
  </si>
  <si>
    <t>광동제약</t>
  </si>
  <si>
    <t>소화제</t>
  </si>
  <si>
    <t>HY1955</t>
  </si>
  <si>
    <t>챔프</t>
  </si>
  <si>
    <t>해열진통제</t>
  </si>
  <si>
    <t>DA1956</t>
  </si>
  <si>
    <t>판피린큐</t>
  </si>
  <si>
    <t>DG1985</t>
  </si>
  <si>
    <t>애시논액</t>
  </si>
  <si>
    <t>GY1958</t>
  </si>
  <si>
    <t>포타디연고</t>
  </si>
  <si>
    <t>외용연고제</t>
  </si>
  <si>
    <t>SE1987</t>
  </si>
  <si>
    <t>HD1957</t>
  </si>
  <si>
    <t>생록천</t>
  </si>
  <si>
    <t>DH1980</t>
  </si>
  <si>
    <t>참가번호</t>
  </si>
  <si>
    <t>허민지</t>
  </si>
  <si>
    <t>최용철</t>
  </si>
  <si>
    <t>김진성</t>
  </si>
  <si>
    <t>허서영</t>
  </si>
  <si>
    <t>양서연</t>
  </si>
  <si>
    <t>문현진</t>
  </si>
  <si>
    <t>김승모</t>
  </si>
  <si>
    <t>이다경</t>
  </si>
  <si>
    <t>성명</t>
  </si>
  <si>
    <t>인터넷 선호도</t>
  </si>
  <si>
    <t>ARS 투표수</t>
  </si>
  <si>
    <t>심사위원_x000D_
점수</t>
  </si>
  <si>
    <t>성별</t>
  </si>
  <si>
    <t>D-25712</t>
  </si>
  <si>
    <t>P-24531</t>
  </si>
  <si>
    <t>G-01401</t>
  </si>
  <si>
    <t>Z-15702</t>
  </si>
  <si>
    <t>S-45342</t>
  </si>
  <si>
    <t>S-72811</t>
  </si>
  <si>
    <t>S-82471</t>
  </si>
  <si>
    <t>T-20252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</si>
</sst>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.00_ "/>
    <numFmt numFmtId="177" formatCode="0.0%"/>
    <numFmt numFmtId="178" formatCode="#,##0_);[Red]\(#,##0\)"/>
    <numFmt numFmtId="179" formatCode="General&quot;점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굴림"/>
      <family val="3"/>
      <charset val="129"/>
    </font>
    <font>
      <sz val="8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hidden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1" applyNumberFormat="1" applyFont="1" applyBorder="1" applyAlignment="1" applyProtection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0" fontId="0" fillId="0" borderId="0" xfId="0" applyProtection="1">
      <alignment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77" fontId="3" fillId="0" borderId="1" xfId="2" applyNumberFormat="1" applyFont="1" applyBorder="1" applyAlignment="1" applyProtection="1">
      <alignment horizontal="right" vertical="center"/>
      <protection locked="0"/>
    </xf>
    <xf numFmtId="178" fontId="3" fillId="0" borderId="1" xfId="1" applyNumberFormat="1" applyFont="1" applyBorder="1" applyAlignment="1" applyProtection="1">
      <alignment horizontal="right" vertical="center"/>
      <protection locked="0"/>
    </xf>
    <xf numFmtId="179" fontId="3" fillId="0" borderId="1" xfId="2" applyNumberFormat="1" applyFont="1" applyBorder="1" applyAlignment="1" applyProtection="1">
      <alignment horizontal="right" vertical="center"/>
      <protection locked="0"/>
    </xf>
    <xf numFmtId="178" fontId="3" fillId="0" borderId="1" xfId="1" applyNumberFormat="1" applyFont="1" applyBorder="1" applyAlignment="1" applyProtection="1">
      <alignment horizontal="right" vertical="center"/>
    </xf>
    <xf numFmtId="176" fontId="0" fillId="0" borderId="1" xfId="0" applyNumberFormat="1" applyBorder="1" applyProtection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합격포인트_01!$C$5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합격포인트_01!$B$6:$B$8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합격포인트_01!$C$6:$C$8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F-4D76-956F-31770A818B5D}"/>
            </c:ext>
          </c:extLst>
        </c:ser>
        <c:ser>
          <c:idx val="1"/>
          <c:order val="1"/>
          <c:tx>
            <c:strRef>
              <c:f>합격포인트_01!$D$5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합격포인트_01!$B$6:$B$8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합격포인트_01!$D$6:$D$8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F-4D76-956F-31770A818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'02'!$C$5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'02'!$C$6:$C$8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5-4A11-93A9-7AE453C6BC35}"/>
            </c:ext>
          </c:extLst>
        </c:ser>
        <c:ser>
          <c:idx val="1"/>
          <c:order val="1"/>
          <c:tx>
            <c:strRef>
              <c:f>'02'!$D$5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'02'!$D$6:$D$8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05-4A11-93A9-7AE453C6B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'03'!$C$5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'03'!$C$6:$C$8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6-4ADF-B3F1-894F15039C2B}"/>
            </c:ext>
          </c:extLst>
        </c:ser>
        <c:ser>
          <c:idx val="1"/>
          <c:order val="1"/>
          <c:tx>
            <c:strRef>
              <c:f>'03'!$D$5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'03'!$D$6:$D$8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C6-4ADF-B3F1-894F15039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'04'!$C$5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'04'!$C$6:$C$8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64-4D1A-8AEA-6CAEE4AA920A}"/>
            </c:ext>
          </c:extLst>
        </c:ser>
        <c:ser>
          <c:idx val="1"/>
          <c:order val="1"/>
          <c:tx>
            <c:strRef>
              <c:f>'04'!$D$5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'04'!$D$6:$D$8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64-4D1A-8AEA-6CAEE4AA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'05'!$C$5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'05'!$C$6:$C$8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A-4A2D-8A14-6EA181845277}"/>
            </c:ext>
          </c:extLst>
        </c:ser>
        <c:ser>
          <c:idx val="1"/>
          <c:order val="1"/>
          <c:tx>
            <c:strRef>
              <c:f>'05'!$D$5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'05'!$D$6:$D$8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A-4A2D-8A14-6EA181845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기출2!$C$2</c:f>
              <c:strCache>
                <c:ptCount val="1"/>
                <c:pt idx="0">
                  <c:v>인터넷 선호도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기출2!$B$3:$B$10</c:f>
              <c:strCache>
                <c:ptCount val="8"/>
                <c:pt idx="0">
                  <c:v>허민지</c:v>
                </c:pt>
                <c:pt idx="1">
                  <c:v>최용철</c:v>
                </c:pt>
                <c:pt idx="2">
                  <c:v>김진성</c:v>
                </c:pt>
                <c:pt idx="3">
                  <c:v>허서영</c:v>
                </c:pt>
                <c:pt idx="4">
                  <c:v>양서연</c:v>
                </c:pt>
                <c:pt idx="5">
                  <c:v>문현진</c:v>
                </c:pt>
                <c:pt idx="6">
                  <c:v>김승모</c:v>
                </c:pt>
                <c:pt idx="7">
                  <c:v>이다경</c:v>
                </c:pt>
              </c:strCache>
            </c:strRef>
          </c:cat>
          <c:val>
            <c:numRef>
              <c:f>기출2!$C$3:$C$10</c:f>
              <c:numCache>
                <c:formatCode>0.0%</c:formatCode>
                <c:ptCount val="8"/>
                <c:pt idx="0">
                  <c:v>7.5999999999999998E-2</c:v>
                </c:pt>
                <c:pt idx="1">
                  <c:v>9.4E-2</c:v>
                </c:pt>
                <c:pt idx="2">
                  <c:v>0.115</c:v>
                </c:pt>
                <c:pt idx="3">
                  <c:v>0.19400000000000001</c:v>
                </c:pt>
                <c:pt idx="4">
                  <c:v>0.187</c:v>
                </c:pt>
                <c:pt idx="5">
                  <c:v>0.16700000000000001</c:v>
                </c:pt>
                <c:pt idx="6">
                  <c:v>0.16800000000000001</c:v>
                </c:pt>
                <c:pt idx="7">
                  <c:v>9.2999999999999999E-2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9A-46BB-A7B9-26CF0CCD9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411119"/>
        <c:axId val="164401039"/>
      </c:barChart>
      <c:catAx>
        <c:axId val="1644111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401039"/>
        <c:crosses val="autoZero"/>
        <c:auto val="1"/>
        <c:lblAlgn val="ctr"/>
        <c:lblOffset val="100"/>
        <c:tickMarkSkip val="1"/>
        <c:noMultiLvlLbl val="0"/>
      </c:catAx>
      <c:valAx>
        <c:axId val="16440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41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4" name="육각형 3">
          <a:extLst>
            <a:ext uri="{FF2B5EF4-FFF2-40B4-BE49-F238E27FC236}">
              <a16:creationId xmlns:a16="http://schemas.microsoft.com/office/drawing/2014/main" id="{F5BED7DF-1431-3621-5161-77E9D4A0613E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EDE07232-A0C3-BA4B-E5B8-70B2E900A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2" name="육각형 1">
          <a:extLst>
            <a:ext uri="{FF2B5EF4-FFF2-40B4-BE49-F238E27FC236}">
              <a16:creationId xmlns:a16="http://schemas.microsoft.com/office/drawing/2014/main" id="{04940387-73B6-4D92-A387-867188D801D4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4E33AED-1F74-4BB6-AE03-EE89458A8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 fLocksText="0">
      <xdr:nvSpPr>
        <xdr:cNvPr id="2" name="육각형 1">
          <a:extLst>
            <a:ext uri="{FF2B5EF4-FFF2-40B4-BE49-F238E27FC236}">
              <a16:creationId xmlns:a16="http://schemas.microsoft.com/office/drawing/2014/main" id="{4B5D4F5A-9DAB-4431-AAAC-15ADA361A0F0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38A589C-16A5-4C18-93C3-BE481D5A5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 fLocksText="0">
      <xdr:nvSpPr>
        <xdr:cNvPr id="2" name="육각형 1">
          <a:extLst>
            <a:ext uri="{FF2B5EF4-FFF2-40B4-BE49-F238E27FC236}">
              <a16:creationId xmlns:a16="http://schemas.microsoft.com/office/drawing/2014/main" id="{B0686DCF-AF29-4D3C-A46B-D909B1FEE69D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7F35B2C9-B9BD-487A-91FF-1782EAECEA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 fLocksText="0">
      <xdr:nvSpPr>
        <xdr:cNvPr id="2" name="육각형 1">
          <a:extLst>
            <a:ext uri="{FF2B5EF4-FFF2-40B4-BE49-F238E27FC236}">
              <a16:creationId xmlns:a16="http://schemas.microsoft.com/office/drawing/2014/main" id="{1388FA42-E2FC-4171-8697-641955CA0651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6FEB4C2-3FEE-40A9-B720-AA8A94BA7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158750</xdr:rowOff>
    </xdr:from>
    <xdr:to>
      <xdr:col>5</xdr:col>
      <xdr:colOff>311150</xdr:colOff>
      <xdr:row>2</xdr:row>
      <xdr:rowOff>209550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911E758E-3149-40D0-EA2C-DDF4A096B84C}"/>
            </a:ext>
          </a:extLst>
        </xdr:cNvPr>
        <xdr:cNvSpPr/>
      </xdr:nvSpPr>
      <xdr:spPr>
        <a:xfrm>
          <a:off x="869950" y="158750"/>
          <a:ext cx="3556000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일반의약품 판매가격 현황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</xdr:colOff>
      <xdr:row>11</xdr:row>
      <xdr:rowOff>6350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39E2C69-88D3-F964-A676-9639ACE1E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1CED-AB90-4E29-A06D-A65443EF1A97}">
  <dimension ref="B5:G12"/>
  <sheetViews>
    <sheetView tabSelected="1" workbookViewId="0"/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17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17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17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17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17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17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17">
        <f t="shared" si="0"/>
        <v>1111111.111111111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F02EF-2E2F-45D9-B41D-3F4613AD2DBF}">
  <dimension ref="B5:G12"/>
  <sheetViews>
    <sheetView workbookViewId="0"/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3C90-2C2F-4200-89B4-FD7381D48459}">
  <dimension ref="B5:G12"/>
  <sheetViews>
    <sheetView workbookViewId="0">
      <selection activeCell="K9" sqref="K9"/>
    </sheetView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0F8FB-87B9-46D2-86BB-12A419056FFC}">
  <dimension ref="B5:G12"/>
  <sheetViews>
    <sheetView workbookViewId="0">
      <selection activeCell="G6" sqref="G6:G12"/>
    </sheetView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CFEA2-2E0F-404D-A16E-00003A4AA2F7}">
  <dimension ref="B5:G12"/>
  <sheetViews>
    <sheetView zoomScaleNormal="100" workbookViewId="0"/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BDE82-1A22-4D02-B6C8-B84CFCB49D16}">
  <sheetPr>
    <tabColor theme="5" tint="0.59999389629810485"/>
  </sheetPr>
  <dimension ref="A5:G13"/>
  <sheetViews>
    <sheetView zoomScaleNormal="100" workbookViewId="0"/>
  </sheetViews>
  <sheetFormatPr defaultRowHeight="16.5" x14ac:dyDescent="0.3"/>
  <cols>
    <col min="2" max="2" width="12.5" customWidth="1"/>
    <col min="3" max="3" width="10.5" customWidth="1"/>
    <col min="4" max="4" width="12.125" customWidth="1"/>
    <col min="5" max="5" width="10.25" customWidth="1"/>
    <col min="6" max="7" width="9.5" customWidth="1"/>
  </cols>
  <sheetData>
    <row r="5" spans="1:7" x14ac:dyDescent="0.3">
      <c r="A5" s="5" t="s">
        <v>13</v>
      </c>
      <c r="B5" s="5" t="s">
        <v>14</v>
      </c>
      <c r="C5" s="5" t="s">
        <v>15</v>
      </c>
      <c r="D5" s="5" t="s">
        <v>16</v>
      </c>
      <c r="E5" s="6" t="s">
        <v>22</v>
      </c>
      <c r="F5" s="6" t="s">
        <v>23</v>
      </c>
      <c r="G5" s="6" t="s">
        <v>24</v>
      </c>
    </row>
    <row r="6" spans="1:7" x14ac:dyDescent="0.3">
      <c r="A6" s="5" t="s">
        <v>25</v>
      </c>
      <c r="B6" s="5" t="s">
        <v>26</v>
      </c>
      <c r="C6" s="5" t="s">
        <v>27</v>
      </c>
      <c r="D6" s="7" t="s">
        <v>28</v>
      </c>
      <c r="E6" s="8">
        <v>580</v>
      </c>
      <c r="F6" s="8">
        <v>500</v>
      </c>
      <c r="G6" s="7">
        <f t="shared" ref="G6:G13" si="0">RANK(F6,$F$6:$F$13)</f>
        <v>5</v>
      </c>
    </row>
    <row r="7" spans="1:7" x14ac:dyDescent="0.3">
      <c r="A7" s="5" t="s">
        <v>29</v>
      </c>
      <c r="B7" s="5" t="s">
        <v>30</v>
      </c>
      <c r="C7" s="5" t="s">
        <v>17</v>
      </c>
      <c r="D7" s="7" t="s">
        <v>31</v>
      </c>
      <c r="E7" s="8">
        <v>2000</v>
      </c>
      <c r="F7" s="8">
        <v>1600</v>
      </c>
      <c r="G7" s="7">
        <f t="shared" si="0"/>
        <v>4</v>
      </c>
    </row>
    <row r="8" spans="1:7" x14ac:dyDescent="0.3">
      <c r="A8" s="5" t="s">
        <v>32</v>
      </c>
      <c r="B8" s="5" t="s">
        <v>33</v>
      </c>
      <c r="C8" s="5" t="s">
        <v>17</v>
      </c>
      <c r="D8" s="7" t="s">
        <v>31</v>
      </c>
      <c r="E8" s="8">
        <v>400</v>
      </c>
      <c r="F8" s="8">
        <v>350</v>
      </c>
      <c r="G8" s="7">
        <f t="shared" si="0"/>
        <v>8</v>
      </c>
    </row>
    <row r="9" spans="1:7" x14ac:dyDescent="0.3">
      <c r="A9" s="5" t="s">
        <v>34</v>
      </c>
      <c r="B9" s="5" t="s">
        <v>35</v>
      </c>
      <c r="C9" s="5" t="s">
        <v>17</v>
      </c>
      <c r="D9" s="7" t="s">
        <v>28</v>
      </c>
      <c r="E9" s="8">
        <v>4800</v>
      </c>
      <c r="F9" s="8">
        <v>4150</v>
      </c>
      <c r="G9" s="7">
        <f t="shared" si="0"/>
        <v>2</v>
      </c>
    </row>
    <row r="10" spans="1:7" x14ac:dyDescent="0.3">
      <c r="A10" s="5" t="s">
        <v>36</v>
      </c>
      <c r="B10" s="5" t="s">
        <v>37</v>
      </c>
      <c r="C10" s="5" t="s">
        <v>19</v>
      </c>
      <c r="D10" s="7" t="s">
        <v>38</v>
      </c>
      <c r="E10" s="8">
        <v>500</v>
      </c>
      <c r="F10" s="8">
        <v>400</v>
      </c>
      <c r="G10" s="7">
        <f t="shared" si="0"/>
        <v>7</v>
      </c>
    </row>
    <row r="11" spans="1:7" x14ac:dyDescent="0.3">
      <c r="A11" s="5" t="s">
        <v>39</v>
      </c>
      <c r="B11" s="5" t="s">
        <v>18</v>
      </c>
      <c r="C11" s="5" t="s">
        <v>19</v>
      </c>
      <c r="D11" s="7" t="s">
        <v>31</v>
      </c>
      <c r="E11" s="8">
        <v>4300</v>
      </c>
      <c r="F11" s="8">
        <v>3900</v>
      </c>
      <c r="G11" s="7">
        <f t="shared" si="0"/>
        <v>3</v>
      </c>
    </row>
    <row r="12" spans="1:7" x14ac:dyDescent="0.3">
      <c r="A12" s="5" t="s">
        <v>40</v>
      </c>
      <c r="B12" s="5" t="s">
        <v>41</v>
      </c>
      <c r="C12" s="5" t="s">
        <v>27</v>
      </c>
      <c r="D12" s="7" t="s">
        <v>28</v>
      </c>
      <c r="E12" s="8">
        <v>500</v>
      </c>
      <c r="F12" s="8">
        <v>420</v>
      </c>
      <c r="G12" s="7">
        <f t="shared" si="0"/>
        <v>6</v>
      </c>
    </row>
    <row r="13" spans="1:7" x14ac:dyDescent="0.3">
      <c r="A13" s="5" t="s">
        <v>42</v>
      </c>
      <c r="B13" s="5" t="s">
        <v>20</v>
      </c>
      <c r="C13" s="5" t="s">
        <v>21</v>
      </c>
      <c r="D13" s="7" t="s">
        <v>38</v>
      </c>
      <c r="E13" s="8">
        <v>5200</v>
      </c>
      <c r="F13" s="8">
        <v>4500</v>
      </c>
      <c r="G13" s="7">
        <f t="shared" si="0"/>
        <v>1</v>
      </c>
    </row>
  </sheetData>
  <phoneticPr fontId="4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971B8-4A95-4433-B56D-AC407E47CDCC}">
  <sheetPr>
    <tabColor theme="5" tint="0.59999389629810485"/>
  </sheetPr>
  <dimension ref="A1:G10"/>
  <sheetViews>
    <sheetView workbookViewId="0"/>
  </sheetViews>
  <sheetFormatPr defaultRowHeight="16.5" x14ac:dyDescent="0.3"/>
  <cols>
    <col min="3" max="3" width="13.75" customWidth="1"/>
    <col min="4" max="4" width="10.5" bestFit="1" customWidth="1"/>
  </cols>
  <sheetData>
    <row r="1" spans="1:7" x14ac:dyDescent="0.3">
      <c r="A1" s="9"/>
      <c r="B1" s="9"/>
      <c r="C1" s="9"/>
      <c r="D1" s="9"/>
      <c r="E1" s="9"/>
      <c r="F1" s="9"/>
      <c r="G1" s="9"/>
    </row>
    <row r="2" spans="1:7" ht="27" x14ac:dyDescent="0.3">
      <c r="A2" s="10" t="s">
        <v>43</v>
      </c>
      <c r="B2" s="10" t="s">
        <v>52</v>
      </c>
      <c r="C2" s="11" t="s">
        <v>53</v>
      </c>
      <c r="D2" s="11" t="s">
        <v>54</v>
      </c>
      <c r="E2" s="11" t="s">
        <v>55</v>
      </c>
      <c r="F2" s="11" t="s">
        <v>24</v>
      </c>
      <c r="G2" s="11" t="s">
        <v>56</v>
      </c>
    </row>
    <row r="3" spans="1:7" x14ac:dyDescent="0.3">
      <c r="A3" s="12" t="s">
        <v>57</v>
      </c>
      <c r="B3" s="12" t="s">
        <v>44</v>
      </c>
      <c r="C3" s="13">
        <v>7.5999999999999998E-2</v>
      </c>
      <c r="D3" s="14">
        <v>5128602</v>
      </c>
      <c r="E3" s="15">
        <v>314</v>
      </c>
      <c r="F3" s="16" t="str">
        <f t="shared" ref="F3:F10" si="0">RANK(D3,$D$3:$D$10)&amp;"위"</f>
        <v>2위</v>
      </c>
      <c r="G3" s="5" t="str">
        <f t="shared" ref="G3:G10" si="1">IF(RIGHT(A3,1)="1","남성","여성")</f>
        <v>여성</v>
      </c>
    </row>
    <row r="4" spans="1:7" x14ac:dyDescent="0.3">
      <c r="A4" s="12" t="s">
        <v>58</v>
      </c>
      <c r="B4" s="12" t="s">
        <v>45</v>
      </c>
      <c r="C4" s="13">
        <v>9.4E-2</v>
      </c>
      <c r="D4" s="14">
        <v>4370520</v>
      </c>
      <c r="E4" s="15">
        <v>246</v>
      </c>
      <c r="F4" s="16" t="str">
        <f t="shared" si="0"/>
        <v>6위</v>
      </c>
      <c r="G4" s="5" t="str">
        <f t="shared" si="1"/>
        <v>남성</v>
      </c>
    </row>
    <row r="5" spans="1:7" x14ac:dyDescent="0.3">
      <c r="A5" s="12" t="s">
        <v>59</v>
      </c>
      <c r="B5" s="12" t="s">
        <v>46</v>
      </c>
      <c r="C5" s="13">
        <v>0.115</v>
      </c>
      <c r="D5" s="14">
        <v>4875340</v>
      </c>
      <c r="E5" s="15">
        <v>267</v>
      </c>
      <c r="F5" s="16" t="str">
        <f t="shared" si="0"/>
        <v>3위</v>
      </c>
      <c r="G5" s="5" t="str">
        <f t="shared" si="1"/>
        <v>남성</v>
      </c>
    </row>
    <row r="6" spans="1:7" x14ac:dyDescent="0.3">
      <c r="A6" s="12" t="s">
        <v>60</v>
      </c>
      <c r="B6" s="12" t="s">
        <v>47</v>
      </c>
      <c r="C6" s="13">
        <v>0.19400000000000001</v>
      </c>
      <c r="D6" s="14">
        <v>5294678</v>
      </c>
      <c r="E6" s="15">
        <v>325</v>
      </c>
      <c r="F6" s="16" t="str">
        <f t="shared" si="0"/>
        <v>1위</v>
      </c>
      <c r="G6" s="5" t="str">
        <f t="shared" si="1"/>
        <v>여성</v>
      </c>
    </row>
    <row r="7" spans="1:7" x14ac:dyDescent="0.3">
      <c r="A7" s="12" t="s">
        <v>61</v>
      </c>
      <c r="B7" s="12" t="s">
        <v>48</v>
      </c>
      <c r="C7" s="13">
        <v>0.187</v>
      </c>
      <c r="D7" s="14">
        <v>4680251</v>
      </c>
      <c r="E7" s="15">
        <v>231</v>
      </c>
      <c r="F7" s="16" t="str">
        <f t="shared" si="0"/>
        <v>5위</v>
      </c>
      <c r="G7" s="5" t="str">
        <f t="shared" si="1"/>
        <v>여성</v>
      </c>
    </row>
    <row r="8" spans="1:7" x14ac:dyDescent="0.3">
      <c r="A8" s="12" t="s">
        <v>62</v>
      </c>
      <c r="B8" s="12" t="s">
        <v>49</v>
      </c>
      <c r="C8" s="13">
        <v>0.16700000000000001</v>
      </c>
      <c r="D8" s="14">
        <v>4858793</v>
      </c>
      <c r="E8" s="15">
        <v>297</v>
      </c>
      <c r="F8" s="16" t="str">
        <f t="shared" si="0"/>
        <v>4위</v>
      </c>
      <c r="G8" s="5" t="str">
        <f t="shared" si="1"/>
        <v>남성</v>
      </c>
    </row>
    <row r="9" spans="1:7" x14ac:dyDescent="0.3">
      <c r="A9" s="12" t="s">
        <v>63</v>
      </c>
      <c r="B9" s="12" t="s">
        <v>50</v>
      </c>
      <c r="C9" s="13">
        <v>0.16800000000000001</v>
      </c>
      <c r="D9" s="14">
        <v>3278457</v>
      </c>
      <c r="E9" s="15">
        <v>215</v>
      </c>
      <c r="F9" s="16" t="str">
        <f t="shared" si="0"/>
        <v>7위</v>
      </c>
      <c r="G9" s="5" t="str">
        <f t="shared" si="1"/>
        <v>남성</v>
      </c>
    </row>
    <row r="10" spans="1:7" x14ac:dyDescent="0.3">
      <c r="A10" s="12" t="s">
        <v>64</v>
      </c>
      <c r="B10" s="12" t="s">
        <v>51</v>
      </c>
      <c r="C10" s="13">
        <v>9.2999999999999999E-2</v>
      </c>
      <c r="D10" s="14">
        <v>3029752</v>
      </c>
      <c r="E10" s="15">
        <v>198</v>
      </c>
      <c r="F10" s="16" t="str">
        <f t="shared" si="0"/>
        <v>8위</v>
      </c>
      <c r="G10" s="5" t="str">
        <f t="shared" si="1"/>
        <v>여성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합격포인트_01</vt:lpstr>
      <vt:lpstr>02</vt:lpstr>
      <vt:lpstr>03</vt:lpstr>
      <vt:lpstr>04</vt:lpstr>
      <vt:lpstr>05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2023-07-13T00:47:06Z</dcterms:created>
  <dcterms:modified xsi:type="dcterms:W3CDTF">2023-11-20T22:19:55Z</dcterms:modified>
</cp:coreProperties>
</file>