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2AF13DB3-08F6-4FE2-A63F-C1CE6D25BE48}" xr6:coauthVersionLast="47" xr6:coauthVersionMax="47" xr10:uidLastSave="{00000000-0000-0000-0000-000000000000}"/>
  <bookViews>
    <workbookView xWindow="28680" yWindow="-120" windowWidth="29040" windowHeight="17640" xr2:uid="{39DBC6EB-3A66-4305-A522-4E5EFC06CCD5}"/>
  </bookViews>
  <sheets>
    <sheet name="합격포인트_01" sheetId="1" r:id="rId1"/>
    <sheet name="시나리오 요약" sheetId="6" r:id="rId2"/>
    <sheet name="02" sheetId="2" r:id="rId3"/>
    <sheet name="시나리오 요약 2" sheetId="7" r:id="rId4"/>
    <sheet name="대표기출문제_기출1" sheetId="3" r:id="rId5"/>
  </sheets>
  <definedNames>
    <definedName name="냉장고단가" localSheetId="2">'02'!$D$3</definedName>
    <definedName name="냉장고단가">합격포인트_01!$D$3</definedName>
    <definedName name="수량">대표기출문제_기출1!$B$4</definedName>
    <definedName name="순이익">대표기출문제_기출1!$B$9</definedName>
    <definedName name="판매액합계" localSheetId="2">'02'!$E$7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3" l="1"/>
  <c r="B8" i="3" s="1"/>
  <c r="B7" i="3"/>
  <c r="D7" i="2"/>
  <c r="C7" i="2"/>
  <c r="B7" i="2"/>
  <c r="E6" i="2"/>
  <c r="E5" i="2"/>
  <c r="E4" i="2"/>
  <c r="E3" i="2"/>
  <c r="E7" i="2" s="1"/>
  <c r="E3" i="1"/>
  <c r="E7" i="1" s="1"/>
  <c r="E4" i="1"/>
  <c r="E5" i="1"/>
  <c r="E6" i="1"/>
  <c r="B7" i="1"/>
  <c r="C7" i="1"/>
  <c r="D7" i="1"/>
  <c r="B9" i="3" l="1"/>
</calcChain>
</file>

<file path=xl/sharedStrings.xml><?xml version="1.0" encoding="utf-8"?>
<sst xmlns="http://schemas.openxmlformats.org/spreadsheetml/2006/main" count="53" uniqueCount="33">
  <si>
    <t>서울 대리점 판매현황</t>
  </si>
  <si>
    <t>품목</t>
  </si>
  <si>
    <t>목표량</t>
  </si>
  <si>
    <t>판매량</t>
  </si>
  <si>
    <t>판매액</t>
  </si>
  <si>
    <t>냉장고</t>
  </si>
  <si>
    <t>오디오</t>
  </si>
  <si>
    <t>비디오</t>
  </si>
  <si>
    <t>카메라</t>
  </si>
  <si>
    <t>판매단가</t>
  </si>
  <si>
    <t>합계</t>
  </si>
  <si>
    <t>[표1]</t>
  </si>
  <si>
    <t>제품코드</t>
  </si>
  <si>
    <t>COM2-K-05</t>
  </si>
  <si>
    <t>가격</t>
  </si>
  <si>
    <t>수량</t>
  </si>
  <si>
    <t>총액</t>
  </si>
  <si>
    <t>임대료</t>
  </si>
  <si>
    <t>배송비</t>
  </si>
  <si>
    <t>세금</t>
  </si>
  <si>
    <t>순이익</t>
  </si>
  <si>
    <t>냉장고단가</t>
  </si>
  <si>
    <t>단가인상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</si>
  <si>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</si>
  <si>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</si>
  <si>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</si>
  <si>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</si>
  <si>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</si>
  <si>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</si>
  <si>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</si>
  <si>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판매액합계</t>
  </si>
  <si>
    <t>판매증가</t>
  </si>
  <si>
    <t>판매감소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</si>
</sst>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2" xfId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4" xfId="0" applyNumberForma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6" fillId="3" borderId="0" xfId="0" applyFont="1" applyFill="1" applyBorder="1" applyAlignment="1">
      <alignment horizontal="left" vertical="center"/>
    </xf>
    <xf numFmtId="0" fontId="7" fillId="3" borderId="5" xfId="0" applyFont="1" applyFill="1" applyBorder="1" applyAlignment="1">
      <alignment horizontal="left" vertical="center"/>
    </xf>
    <xf numFmtId="0" fontId="8" fillId="3" borderId="5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right" vertical="center"/>
    </xf>
    <xf numFmtId="41" fontId="0" fillId="4" borderId="0" xfId="0" applyNumberFormat="1" applyFill="1" applyBorder="1" applyAlignment="1">
      <alignment vertical="center"/>
    </xf>
    <xf numFmtId="0" fontId="9" fillId="0" borderId="0" xfId="0" applyFont="1" applyFill="1" applyBorder="1" applyAlignment="1">
      <alignment vertical="top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990E7-C0C9-45AE-89DC-260876BB6E13}">
  <dimension ref="A1:E7"/>
  <sheetViews>
    <sheetView tabSelected="1" workbookViewId="0">
      <selection sqref="A1:E1"/>
    </sheetView>
  </sheetViews>
  <sheetFormatPr defaultRowHeight="16.5" x14ac:dyDescent="0.3"/>
  <cols>
    <col min="2" max="4" width="9.125" bestFit="1" customWidth="1"/>
    <col min="5" max="5" width="10.875" bestFit="1" customWidth="1"/>
  </cols>
  <sheetData>
    <row r="1" spans="1:5" x14ac:dyDescent="0.3">
      <c r="A1" s="4" t="s">
        <v>0</v>
      </c>
      <c r="B1" s="4"/>
      <c r="C1" s="4"/>
      <c r="D1" s="4"/>
      <c r="E1" s="4"/>
    </row>
    <row r="2" spans="1:5" x14ac:dyDescent="0.3">
      <c r="A2" s="1" t="s">
        <v>1</v>
      </c>
      <c r="B2" s="1" t="s">
        <v>2</v>
      </c>
      <c r="C2" s="1" t="s">
        <v>3</v>
      </c>
      <c r="D2" s="1" t="s">
        <v>9</v>
      </c>
      <c r="E2" s="1" t="s">
        <v>4</v>
      </c>
    </row>
    <row r="3" spans="1:5" x14ac:dyDescent="0.3">
      <c r="A3" s="1" t="s">
        <v>5</v>
      </c>
      <c r="B3" s="2">
        <v>9</v>
      </c>
      <c r="C3" s="2">
        <v>15</v>
      </c>
      <c r="D3" s="2">
        <v>950</v>
      </c>
      <c r="E3" s="2">
        <f>C3*D3</f>
        <v>14250</v>
      </c>
    </row>
    <row r="4" spans="1:5" x14ac:dyDescent="0.3">
      <c r="A4" s="1" t="s">
        <v>6</v>
      </c>
      <c r="B4" s="2">
        <v>5</v>
      </c>
      <c r="C4" s="2">
        <v>10</v>
      </c>
      <c r="D4" s="2">
        <v>1400</v>
      </c>
      <c r="E4" s="2">
        <f>C4*D4</f>
        <v>14000</v>
      </c>
    </row>
    <row r="5" spans="1:5" x14ac:dyDescent="0.3">
      <c r="A5" s="1" t="s">
        <v>7</v>
      </c>
      <c r="B5" s="2">
        <v>11</v>
      </c>
      <c r="C5" s="2">
        <v>15</v>
      </c>
      <c r="D5" s="2">
        <v>560</v>
      </c>
      <c r="E5" s="2">
        <f>C5*D5</f>
        <v>8400</v>
      </c>
    </row>
    <row r="6" spans="1:5" x14ac:dyDescent="0.3">
      <c r="A6" s="1" t="s">
        <v>8</v>
      </c>
      <c r="B6" s="2">
        <v>14</v>
      </c>
      <c r="C6" s="2">
        <v>14</v>
      </c>
      <c r="D6" s="2">
        <v>340</v>
      </c>
      <c r="E6" s="2">
        <f>C6*D6</f>
        <v>4760</v>
      </c>
    </row>
    <row r="7" spans="1:5" x14ac:dyDescent="0.3">
      <c r="A7" s="1" t="s">
        <v>10</v>
      </c>
      <c r="B7" s="2">
        <f>SUM(B3:B6)</f>
        <v>39</v>
      </c>
      <c r="C7" s="2">
        <f>SUM(C3:C6)</f>
        <v>54</v>
      </c>
      <c r="D7" s="2">
        <f>SUM(D3:D6)</f>
        <v>3250</v>
      </c>
      <c r="E7" s="2">
        <f>SUM(E3:E6)</f>
        <v>41410</v>
      </c>
    </row>
  </sheetData>
  <mergeCells count="1">
    <mergeCell ref="A1:E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94F41-FA1D-4BAB-9C64-ECF356653900}">
  <sheetPr>
    <outlinePr summaryBelow="0"/>
  </sheetPr>
  <dimension ref="B1:E11"/>
  <sheetViews>
    <sheetView showGridLines="0" workbookViewId="0"/>
  </sheetViews>
  <sheetFormatPr defaultRowHeight="16.5" outlineLevelRow="1" outlineLevelCol="1" x14ac:dyDescent="0.3"/>
  <cols>
    <col min="3" max="3" width="11" bestFit="1" customWidth="1"/>
    <col min="4" max="5" width="9" outlineLevel="1"/>
  </cols>
  <sheetData>
    <row r="1" spans="2:5" ht="17.25" thickBot="1" x14ac:dyDescent="0.35"/>
    <row r="2" spans="2:5" x14ac:dyDescent="0.3">
      <c r="B2" s="9" t="s">
        <v>23</v>
      </c>
      <c r="C2" s="10"/>
      <c r="D2" s="16"/>
      <c r="E2" s="16"/>
    </row>
    <row r="3" spans="2:5" collapsed="1" x14ac:dyDescent="0.3">
      <c r="B3" s="8"/>
      <c r="C3" s="8"/>
      <c r="D3" s="17" t="s">
        <v>25</v>
      </c>
      <c r="E3" s="17" t="s">
        <v>22</v>
      </c>
    </row>
    <row r="4" spans="2:5" hidden="1" outlineLevel="1" x14ac:dyDescent="0.3">
      <c r="B4" s="12"/>
      <c r="C4" s="12"/>
      <c r="D4" s="5"/>
      <c r="E4" s="19"/>
    </row>
    <row r="5" spans="2:5" x14ac:dyDescent="0.3">
      <c r="B5" s="13" t="s">
        <v>24</v>
      </c>
      <c r="C5" s="14"/>
      <c r="D5" s="11"/>
      <c r="E5" s="11"/>
    </row>
    <row r="6" spans="2:5" outlineLevel="1" x14ac:dyDescent="0.3">
      <c r="B6" s="12"/>
      <c r="C6" s="12" t="s">
        <v>21</v>
      </c>
      <c r="D6" s="6">
        <v>950</v>
      </c>
      <c r="E6" s="18">
        <v>1100</v>
      </c>
    </row>
    <row r="7" spans="2:5" x14ac:dyDescent="0.3">
      <c r="B7" s="13" t="s">
        <v>26</v>
      </c>
      <c r="C7" s="14"/>
      <c r="D7" s="11"/>
      <c r="E7" s="11"/>
    </row>
    <row r="8" spans="2:5" ht="17.25" outlineLevel="1" thickBot="1" x14ac:dyDescent="0.35">
      <c r="B8" s="15"/>
      <c r="C8" s="15" t="s">
        <v>30</v>
      </c>
      <c r="D8" s="7">
        <v>41410</v>
      </c>
      <c r="E8" s="7">
        <v>43660</v>
      </c>
    </row>
    <row r="9" spans="2:5" x14ac:dyDescent="0.3">
      <c r="B9" t="s">
        <v>27</v>
      </c>
    </row>
    <row r="10" spans="2:5" x14ac:dyDescent="0.3">
      <c r="B10" t="s">
        <v>28</v>
      </c>
    </row>
    <row r="11" spans="2:5" x14ac:dyDescent="0.3">
      <c r="B11" t="s">
        <v>29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5A8CF-30C7-4FA5-9065-5A902E732C7C}">
  <dimension ref="A1:E7"/>
  <sheetViews>
    <sheetView workbookViewId="0">
      <selection sqref="A1:E1"/>
    </sheetView>
  </sheetViews>
  <sheetFormatPr defaultRowHeight="16.5" x14ac:dyDescent="0.3"/>
  <cols>
    <col min="2" max="4" width="9.125" bestFit="1" customWidth="1"/>
    <col min="5" max="5" width="10.875" bestFit="1" customWidth="1"/>
  </cols>
  <sheetData>
    <row r="1" spans="1:5" x14ac:dyDescent="0.3">
      <c r="A1" s="4" t="s">
        <v>0</v>
      </c>
      <c r="B1" s="4"/>
      <c r="C1" s="4"/>
      <c r="D1" s="4"/>
      <c r="E1" s="4"/>
    </row>
    <row r="2" spans="1:5" x14ac:dyDescent="0.3">
      <c r="A2" s="1" t="s">
        <v>1</v>
      </c>
      <c r="B2" s="1" t="s">
        <v>2</v>
      </c>
      <c r="C2" s="1" t="s">
        <v>3</v>
      </c>
      <c r="D2" s="1" t="s">
        <v>9</v>
      </c>
      <c r="E2" s="1" t="s">
        <v>4</v>
      </c>
    </row>
    <row r="3" spans="1:5" x14ac:dyDescent="0.3">
      <c r="A3" s="1" t="s">
        <v>5</v>
      </c>
      <c r="B3" s="2">
        <v>9</v>
      </c>
      <c r="C3" s="2">
        <v>15</v>
      </c>
      <c r="D3" s="2">
        <v>950</v>
      </c>
      <c r="E3" s="2">
        <f>C3*D3</f>
        <v>14250</v>
      </c>
    </row>
    <row r="4" spans="1:5" x14ac:dyDescent="0.3">
      <c r="A4" s="1" t="s">
        <v>6</v>
      </c>
      <c r="B4" s="2">
        <v>5</v>
      </c>
      <c r="C4" s="2">
        <v>10</v>
      </c>
      <c r="D4" s="2">
        <v>1400</v>
      </c>
      <c r="E4" s="2">
        <f>C4*D4</f>
        <v>14000</v>
      </c>
    </row>
    <row r="5" spans="1:5" x14ac:dyDescent="0.3">
      <c r="A5" s="1" t="s">
        <v>7</v>
      </c>
      <c r="B5" s="2">
        <v>11</v>
      </c>
      <c r="C5" s="2">
        <v>15</v>
      </c>
      <c r="D5" s="2">
        <v>560</v>
      </c>
      <c r="E5" s="2">
        <f>C5*D5</f>
        <v>8400</v>
      </c>
    </row>
    <row r="6" spans="1:5" x14ac:dyDescent="0.3">
      <c r="A6" s="1" t="s">
        <v>8</v>
      </c>
      <c r="B6" s="2">
        <v>14</v>
      </c>
      <c r="C6" s="2">
        <v>14</v>
      </c>
      <c r="D6" s="2">
        <v>340</v>
      </c>
      <c r="E6" s="2">
        <f>C6*D6</f>
        <v>4760</v>
      </c>
    </row>
    <row r="7" spans="1:5" x14ac:dyDescent="0.3">
      <c r="A7" s="1" t="s">
        <v>10</v>
      </c>
      <c r="B7" s="2">
        <f>SUM(B3:B6)</f>
        <v>39</v>
      </c>
      <c r="C7" s="2">
        <f>SUM(C3:C6)</f>
        <v>54</v>
      </c>
      <c r="D7" s="2">
        <f>SUM(D3:D6)</f>
        <v>3250</v>
      </c>
      <c r="E7" s="2">
        <f>SUM(E3:E6)</f>
        <v>41410</v>
      </c>
    </row>
  </sheetData>
  <scenarios current="0" sqref="E7">
    <scenario name="단가인상" locked="1" count="1" user="okmii">
      <inputCells r="D3" val="1100" numFmtId="41"/>
    </scenario>
  </scenarios>
  <mergeCells count="1">
    <mergeCell ref="A1:E1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6478F-7968-43BA-B84E-5E182512B769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7.125" bestFit="1" customWidth="1"/>
    <col min="4" max="6" width="13" bestFit="1" customWidth="1" outlineLevel="1"/>
  </cols>
  <sheetData>
    <row r="1" spans="2:6" ht="17.25" thickBot="1" x14ac:dyDescent="0.35"/>
    <row r="2" spans="2:6" x14ac:dyDescent="0.3">
      <c r="B2" s="9" t="s">
        <v>23</v>
      </c>
      <c r="C2" s="10"/>
      <c r="D2" s="16"/>
      <c r="E2" s="16"/>
      <c r="F2" s="16"/>
    </row>
    <row r="3" spans="2:6" collapsed="1" x14ac:dyDescent="0.3">
      <c r="B3" s="8"/>
      <c r="C3" s="8"/>
      <c r="D3" s="17" t="s">
        <v>25</v>
      </c>
      <c r="E3" s="17" t="s">
        <v>31</v>
      </c>
      <c r="F3" s="17" t="s">
        <v>32</v>
      </c>
    </row>
    <row r="4" spans="2:6" hidden="1" outlineLevel="1" x14ac:dyDescent="0.3">
      <c r="B4" s="12"/>
      <c r="C4" s="12"/>
      <c r="D4" s="5"/>
      <c r="E4" s="19"/>
      <c r="F4" s="19"/>
    </row>
    <row r="5" spans="2:6" x14ac:dyDescent="0.3">
      <c r="B5" s="13" t="s">
        <v>24</v>
      </c>
      <c r="C5" s="14"/>
      <c r="D5" s="11"/>
      <c r="E5" s="11"/>
      <c r="F5" s="11"/>
    </row>
    <row r="6" spans="2:6" outlineLevel="1" x14ac:dyDescent="0.3">
      <c r="B6" s="12"/>
      <c r="C6" s="12" t="s">
        <v>15</v>
      </c>
      <c r="D6" s="6">
        <v>250</v>
      </c>
      <c r="E6" s="18">
        <v>400</v>
      </c>
      <c r="F6" s="18">
        <v>150</v>
      </c>
    </row>
    <row r="7" spans="2:6" x14ac:dyDescent="0.3">
      <c r="B7" s="13" t="s">
        <v>26</v>
      </c>
      <c r="C7" s="14"/>
      <c r="D7" s="11"/>
      <c r="E7" s="11"/>
      <c r="F7" s="11"/>
    </row>
    <row r="8" spans="2:6" ht="17.25" outlineLevel="1" thickBot="1" x14ac:dyDescent="0.35">
      <c r="B8" s="15"/>
      <c r="C8" s="15" t="s">
        <v>20</v>
      </c>
      <c r="D8" s="7">
        <v>153375000</v>
      </c>
      <c r="E8" s="7">
        <v>248100000</v>
      </c>
      <c r="F8" s="7">
        <v>90225000</v>
      </c>
    </row>
    <row r="9" spans="2:6" x14ac:dyDescent="0.3">
      <c r="B9" t="s">
        <v>27</v>
      </c>
    </row>
    <row r="10" spans="2:6" x14ac:dyDescent="0.3">
      <c r="B10" t="s">
        <v>28</v>
      </c>
    </row>
    <row r="11" spans="2:6" x14ac:dyDescent="0.3">
      <c r="B11" t="s">
        <v>29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2BECA-68C0-4477-BAA8-792D66BDF8C8}">
  <sheetPr>
    <tabColor theme="7" tint="0.59999389629810485"/>
  </sheetPr>
  <dimension ref="A1:B9"/>
  <sheetViews>
    <sheetView workbookViewId="0"/>
  </sheetViews>
  <sheetFormatPr defaultRowHeight="16.5" x14ac:dyDescent="0.3"/>
  <cols>
    <col min="2" max="2" width="13" bestFit="1" customWidth="1"/>
    <col min="3" max="3" width="3.625" customWidth="1"/>
  </cols>
  <sheetData>
    <row r="1" spans="1:2" x14ac:dyDescent="0.3">
      <c r="A1" t="s">
        <v>11</v>
      </c>
    </row>
    <row r="2" spans="1:2" x14ac:dyDescent="0.3">
      <c r="A2" s="1" t="s">
        <v>12</v>
      </c>
      <c r="B2" s="1" t="s">
        <v>13</v>
      </c>
    </row>
    <row r="3" spans="1:2" x14ac:dyDescent="0.3">
      <c r="A3" s="1" t="s">
        <v>14</v>
      </c>
      <c r="B3" s="3">
        <v>850000</v>
      </c>
    </row>
    <row r="4" spans="1:2" x14ac:dyDescent="0.3">
      <c r="A4" s="1" t="s">
        <v>15</v>
      </c>
      <c r="B4" s="3">
        <v>250</v>
      </c>
    </row>
    <row r="5" spans="1:2" x14ac:dyDescent="0.3">
      <c r="A5" s="1" t="s">
        <v>16</v>
      </c>
      <c r="B5" s="3">
        <f>B3*B4</f>
        <v>212500000</v>
      </c>
    </row>
    <row r="6" spans="1:2" x14ac:dyDescent="0.3">
      <c r="A6" s="1" t="s">
        <v>17</v>
      </c>
      <c r="B6" s="3">
        <v>4500000</v>
      </c>
    </row>
    <row r="7" spans="1:2" x14ac:dyDescent="0.3">
      <c r="A7" s="1" t="s">
        <v>18</v>
      </c>
      <c r="B7" s="3">
        <f>B4*6000</f>
        <v>1500000</v>
      </c>
    </row>
    <row r="8" spans="1:2" x14ac:dyDescent="0.3">
      <c r="A8" s="1" t="s">
        <v>19</v>
      </c>
      <c r="B8" s="3">
        <f>B5*25%</f>
        <v>53125000</v>
      </c>
    </row>
    <row r="9" spans="1:2" x14ac:dyDescent="0.3">
      <c r="A9" s="1" t="s">
        <v>20</v>
      </c>
      <c r="B9" s="3">
        <f>B5-SUM(B6:B8)</f>
        <v>153375000</v>
      </c>
    </row>
  </sheetData>
  <scenarios current="0" sqref="B9">
    <scenario name="판매증가" locked="1" count="1" user="okmii">
      <inputCells r="B4" val="400" numFmtId="41"/>
    </scenario>
    <scenario name="판매감소" locked="1" count="1" user="okmii">
      <inputCells r="B4" val="150" numFmtId="41"/>
    </scenario>
  </scenario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5</vt:i4>
      </vt:variant>
    </vt:vector>
  </HeadingPairs>
  <TitlesOfParts>
    <vt:vector size="10" baseType="lpstr">
      <vt:lpstr>합격포인트_01</vt:lpstr>
      <vt:lpstr>시나리오 요약</vt:lpstr>
      <vt:lpstr>02</vt:lpstr>
      <vt:lpstr>시나리오 요약 2</vt:lpstr>
      <vt:lpstr>대표기출문제_기출1</vt:lpstr>
      <vt:lpstr>'02'!냉장고단가</vt:lpstr>
      <vt:lpstr>냉장고단가</vt:lpstr>
      <vt:lpstr>수량</vt:lpstr>
      <vt:lpstr>순이익</vt:lpstr>
      <vt:lpstr>'02'!판매액합계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2023-07-14T09:16:28Z</dcterms:created>
  <dcterms:modified xsi:type="dcterms:W3CDTF">2023-11-08T07:03:39Z</dcterms:modified>
</cp:coreProperties>
</file>