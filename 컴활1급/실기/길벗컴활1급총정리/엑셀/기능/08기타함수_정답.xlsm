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C8C0C98A-A5D1-47EA-9B86-D468833AB591}" xr6:coauthVersionLast="47" xr6:coauthVersionMax="47" xr10:uidLastSave="{00000000-0000-0000-0000-000000000000}"/>
  <bookViews>
    <workbookView xWindow="28680" yWindow="-120" windowWidth="29040" windowHeight="17640" activeTab="4" xr2:uid="{BE321B58-B3C2-4B52-AFE1-DAA2374875DA}"/>
  </bookViews>
  <sheets>
    <sheet name="합격포인트_01_유형1~2" sheetId="1" r:id="rId1"/>
    <sheet name="02~06" sheetId="2" r:id="rId2"/>
    <sheet name="07~08" sheetId="3" r:id="rId3"/>
    <sheet name="08_체크체크_①~⑥" sheetId="4" r:id="rId4"/>
    <sheet name="08_체크체크_⑦~⑨" sheetId="5" r:id="rId5"/>
    <sheet name="대표기출문제_기출1~3" sheetId="6" r:id="rId6"/>
    <sheet name="기출4~5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5" l="1"/>
  <c r="E15" i="5"/>
  <c r="F19" i="2"/>
  <c r="F18" i="2"/>
  <c r="E10" i="7"/>
  <c r="D10" i="7"/>
  <c r="E9" i="7"/>
  <c r="D9" i="7"/>
  <c r="E8" i="7"/>
  <c r="D8" i="7"/>
  <c r="E7" i="7"/>
  <c r="D7" i="7"/>
  <c r="E6" i="7"/>
  <c r="D6" i="7"/>
  <c r="E5" i="7"/>
  <c r="D5" i="7"/>
  <c r="E4" i="7"/>
  <c r="D4" i="7"/>
  <c r="E3" i="7"/>
  <c r="D3" i="7"/>
  <c r="E2" i="7"/>
  <c r="D2" i="7"/>
  <c r="F16" i="6"/>
  <c r="F15" i="6"/>
  <c r="F14" i="6"/>
  <c r="F13" i="6"/>
  <c r="G10" i="6"/>
  <c r="F10" i="6"/>
  <c r="G9" i="6"/>
  <c r="F9" i="6"/>
  <c r="G8" i="6"/>
  <c r="F8" i="6"/>
  <c r="G7" i="6"/>
  <c r="F7" i="6"/>
  <c r="G6" i="6"/>
  <c r="F6" i="6"/>
  <c r="G5" i="6"/>
  <c r="F5" i="6"/>
  <c r="G4" i="6"/>
  <c r="F4" i="6"/>
  <c r="G3" i="6"/>
  <c r="F3" i="6"/>
  <c r="F12" i="5"/>
  <c r="F10" i="5"/>
  <c r="D10" i="5"/>
  <c r="F9" i="5"/>
  <c r="D9" i="5"/>
  <c r="F8" i="5"/>
  <c r="D8" i="5"/>
  <c r="F7" i="5"/>
  <c r="D7" i="5"/>
  <c r="F6" i="5"/>
  <c r="D6" i="5"/>
  <c r="F5" i="5"/>
  <c r="D5" i="5"/>
  <c r="F4" i="5"/>
  <c r="D4" i="5"/>
  <c r="F3" i="5"/>
  <c r="D3" i="5"/>
  <c r="I10" i="4"/>
  <c r="H10" i="4"/>
  <c r="G10" i="4"/>
  <c r="I9" i="4"/>
  <c r="H9" i="4"/>
  <c r="G9" i="4"/>
  <c r="I8" i="4"/>
  <c r="H8" i="4"/>
  <c r="G8" i="4"/>
  <c r="I7" i="4"/>
  <c r="H7" i="4"/>
  <c r="G7" i="4"/>
  <c r="I6" i="4"/>
  <c r="H6" i="4"/>
  <c r="G6" i="4"/>
  <c r="E15" i="4" s="1"/>
  <c r="I5" i="4"/>
  <c r="H5" i="4"/>
  <c r="G5" i="4"/>
  <c r="I4" i="4"/>
  <c r="H4" i="4"/>
  <c r="G4" i="4"/>
  <c r="E14" i="4" s="1"/>
  <c r="I3" i="4"/>
  <c r="H3" i="4"/>
  <c r="G3" i="4"/>
  <c r="I16" i="4" s="1"/>
  <c r="D11" i="3"/>
  <c r="B11" i="3"/>
  <c r="D10" i="3"/>
  <c r="B10" i="3"/>
  <c r="D9" i="3"/>
  <c r="B9" i="3"/>
  <c r="D8" i="3"/>
  <c r="B8" i="3"/>
  <c r="D7" i="3"/>
  <c r="B7" i="3"/>
  <c r="D6" i="3"/>
  <c r="B6" i="3"/>
  <c r="D5" i="3"/>
  <c r="B5" i="3"/>
  <c r="D4" i="3"/>
  <c r="B4" i="3"/>
  <c r="D3" i="3"/>
  <c r="B3" i="3"/>
  <c r="C17" i="2"/>
  <c r="D15" i="2"/>
  <c r="C15" i="2"/>
  <c r="F14" i="2"/>
  <c r="D14" i="2"/>
  <c r="C14" i="2"/>
  <c r="F13" i="2"/>
  <c r="D13" i="2"/>
  <c r="C13" i="2"/>
  <c r="F12" i="2"/>
  <c r="D12" i="2"/>
  <c r="C12" i="2"/>
  <c r="F9" i="2"/>
  <c r="F8" i="2"/>
  <c r="F7" i="2"/>
  <c r="F6" i="2"/>
  <c r="F5" i="2"/>
  <c r="F4" i="2"/>
  <c r="F3" i="2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H15" i="4" l="1"/>
  <c r="I15" i="4"/>
  <c r="E13" i="4"/>
  <c r="H14" i="4"/>
  <c r="H13" i="4"/>
  <c r="I14" i="4"/>
  <c r="H16" i="4"/>
  <c r="I13" i="4"/>
</calcChain>
</file>

<file path=xl/sharedStrings.xml><?xml version="1.0" encoding="utf-8"?>
<sst xmlns="http://schemas.openxmlformats.org/spreadsheetml/2006/main" count="201" uniqueCount="143">
  <si>
    <t>[표1]</t>
    <phoneticPr fontId="2" type="noConversion"/>
  </si>
  <si>
    <t>이름</t>
  </si>
  <si>
    <t>[표1]</t>
  </si>
  <si>
    <t>학년</t>
  </si>
  <si>
    <t>필기</t>
  </si>
  <si>
    <t>실기</t>
  </si>
  <si>
    <t>면접</t>
  </si>
  <si>
    <t>총점1</t>
  </si>
  <si>
    <t>총점2</t>
  </si>
  <si>
    <t>홍가람</t>
  </si>
  <si>
    <t>이성훈</t>
  </si>
  <si>
    <t>구인하</t>
  </si>
  <si>
    <t>이숙민</t>
  </si>
  <si>
    <t>김형호</t>
  </si>
  <si>
    <t>양성진</t>
  </si>
  <si>
    <t>임호성</t>
  </si>
  <si>
    <t>김용화</t>
  </si>
  <si>
    <t>[표2] 가중치표</t>
  </si>
  <si>
    <t>[표2]</t>
    <phoneticPr fontId="2" type="noConversion"/>
  </si>
  <si>
    <t>변경코드</t>
  </si>
  <si>
    <t>[표2]</t>
  </si>
  <si>
    <t>[표3]</t>
  </si>
  <si>
    <t xml:space="preserve">기준일 : </t>
    <phoneticPr fontId="2" type="noConversion"/>
  </si>
  <si>
    <t>가입일</t>
    <phoneticPr fontId="2" type="noConversion"/>
  </si>
  <si>
    <t>가입기간</t>
    <phoneticPr fontId="2" type="noConversion"/>
  </si>
  <si>
    <t>알바종료일</t>
    <phoneticPr fontId="2" type="noConversion"/>
  </si>
  <si>
    <t>급여입금일</t>
    <phoneticPr fontId="2" type="noConversion"/>
  </si>
  <si>
    <t>휴일</t>
    <phoneticPr fontId="2" type="noConversion"/>
  </si>
  <si>
    <t>어린이날</t>
    <phoneticPr fontId="2" type="noConversion"/>
  </si>
  <si>
    <t>부처님오신날</t>
    <phoneticPr fontId="2" type="noConversion"/>
  </si>
  <si>
    <t>vrkrjb</t>
  </si>
  <si>
    <t>sywee83</t>
  </si>
  <si>
    <t>gddyny</t>
  </si>
  <si>
    <t>qduxy90</t>
  </si>
  <si>
    <t>bgduv15</t>
  </si>
  <si>
    <t>jnnmgr</t>
  </si>
  <si>
    <t>회원ID</t>
  </si>
  <si>
    <t>주민번호</t>
  </si>
  <si>
    <t>등급</t>
  </si>
  <si>
    <t>6월</t>
  </si>
  <si>
    <t>7월</t>
  </si>
  <si>
    <t>8월</t>
  </si>
  <si>
    <t>할인액</t>
  </si>
  <si>
    <t>적립금</t>
  </si>
  <si>
    <t>변경주민번호</t>
  </si>
  <si>
    <t xml:space="preserve">기준일 : </t>
  </si>
  <si>
    <t>입사일</t>
  </si>
  <si>
    <t>부서</t>
  </si>
  <si>
    <t>인사고과</t>
  </si>
  <si>
    <t>인사부</t>
  </si>
  <si>
    <t>영업부</t>
  </si>
  <si>
    <t>기획부</t>
  </si>
  <si>
    <t>휴일</t>
  </si>
  <si>
    <t>창사기념일</t>
  </si>
  <si>
    <t>사원코드</t>
  </si>
  <si>
    <t>직위</t>
  </si>
  <si>
    <t>평일</t>
  </si>
  <si>
    <t>주말</t>
  </si>
  <si>
    <t>수당합계</t>
  </si>
  <si>
    <t>4D055</t>
  </si>
  <si>
    <t>과장</t>
  </si>
  <si>
    <t>4A835</t>
  </si>
  <si>
    <t>대리</t>
  </si>
  <si>
    <t>5A430</t>
  </si>
  <si>
    <t>4C317</t>
  </si>
  <si>
    <t>5A794</t>
  </si>
  <si>
    <t>부장</t>
  </si>
  <si>
    <t>4B666</t>
  </si>
  <si>
    <t>차장</t>
  </si>
  <si>
    <t>4B383</t>
  </si>
  <si>
    <t>사원</t>
  </si>
  <si>
    <t>5C766</t>
  </si>
  <si>
    <t>[표2] 수당표</t>
  </si>
  <si>
    <t>코드</t>
  </si>
  <si>
    <t>A</t>
  </si>
  <si>
    <t>B</t>
  </si>
  <si>
    <t>C</t>
  </si>
  <si>
    <t>D</t>
  </si>
  <si>
    <t>TO-07</t>
  </si>
  <si>
    <t>EI-25</t>
  </si>
  <si>
    <t>VO-02</t>
  </si>
  <si>
    <t>EI-03</t>
  </si>
  <si>
    <t>VO-04</t>
  </si>
  <si>
    <t>VO-05</t>
  </si>
  <si>
    <t>EI-06</t>
  </si>
  <si>
    <t>EI-26</t>
  </si>
  <si>
    <t>EI-27</t>
  </si>
  <si>
    <t>대여코드</t>
  </si>
  <si>
    <t>대여일자</t>
  </si>
  <si>
    <t>대여시간</t>
  </si>
  <si>
    <t>반납일</t>
  </si>
  <si>
    <t>미납기간</t>
  </si>
  <si>
    <t>판매코드</t>
    <phoneticPr fontId="2" type="noConversion"/>
  </si>
  <si>
    <t>판매일</t>
    <phoneticPr fontId="2" type="noConversion"/>
  </si>
  <si>
    <t>판매상품</t>
    <phoneticPr fontId="2" type="noConversion"/>
  </si>
  <si>
    <t>단가</t>
    <phoneticPr fontId="2" type="noConversion"/>
  </si>
  <si>
    <t>판매수량</t>
    <phoneticPr fontId="2" type="noConversion"/>
  </si>
  <si>
    <t>변경코드</t>
    <phoneticPr fontId="8" type="noConversion"/>
  </si>
  <si>
    <t>가041</t>
    <phoneticPr fontId="2" type="noConversion"/>
  </si>
  <si>
    <t>녹차</t>
    <phoneticPr fontId="2" type="noConversion"/>
  </si>
  <si>
    <t>나026</t>
    <phoneticPr fontId="2" type="noConversion"/>
  </si>
  <si>
    <t>커피</t>
    <phoneticPr fontId="2" type="noConversion"/>
  </si>
  <si>
    <t>다073</t>
    <phoneticPr fontId="2" type="noConversion"/>
  </si>
  <si>
    <t>쌍화차</t>
    <phoneticPr fontId="2" type="noConversion"/>
  </si>
  <si>
    <t>가025</t>
    <phoneticPr fontId="2" type="noConversion"/>
  </si>
  <si>
    <t>다056</t>
    <phoneticPr fontId="2" type="noConversion"/>
  </si>
  <si>
    <t>나092</t>
    <phoneticPr fontId="2" type="noConversion"/>
  </si>
  <si>
    <t>개수</t>
    <phoneticPr fontId="2" type="noConversion"/>
  </si>
  <si>
    <t>수량합계</t>
    <phoneticPr fontId="2" type="noConversion"/>
  </si>
  <si>
    <t>비율</t>
    <phoneticPr fontId="2" type="noConversion"/>
  </si>
  <si>
    <t>[표3]</t>
    <phoneticPr fontId="2" type="noConversion"/>
  </si>
  <si>
    <t>.</t>
    <phoneticPr fontId="2" type="noConversion"/>
  </si>
  <si>
    <t>커피/녹차 평균</t>
    <phoneticPr fontId="2" type="noConversion"/>
  </si>
  <si>
    <t>조건</t>
    <phoneticPr fontId="2" type="noConversion"/>
  </si>
  <si>
    <t>040118-4025213</t>
    <phoneticPr fontId="2" type="noConversion"/>
  </si>
  <si>
    <t>VIP</t>
    <phoneticPr fontId="2" type="noConversion"/>
  </si>
  <si>
    <t>030701-3582943</t>
    <phoneticPr fontId="2" type="noConversion"/>
  </si>
  <si>
    <t>골드</t>
    <phoneticPr fontId="2" type="noConversion"/>
  </si>
  <si>
    <t>vwkwek3</t>
    <phoneticPr fontId="2" type="noConversion"/>
  </si>
  <si>
    <t>040116-3029382</t>
    <phoneticPr fontId="2" type="noConversion"/>
  </si>
  <si>
    <t>050125-3301922</t>
    <phoneticPr fontId="2" type="noConversion"/>
  </si>
  <si>
    <t>일반</t>
    <phoneticPr fontId="2" type="noConversion"/>
  </si>
  <si>
    <t>jbxdku234</t>
    <phoneticPr fontId="2" type="noConversion"/>
  </si>
  <si>
    <t>041117-4238192</t>
    <phoneticPr fontId="2" type="noConversion"/>
  </si>
  <si>
    <t>051109-4191037</t>
    <phoneticPr fontId="2" type="noConversion"/>
  </si>
  <si>
    <t>030131-3112039</t>
    <phoneticPr fontId="2" type="noConversion"/>
  </si>
  <si>
    <t>010512-3245219</t>
    <phoneticPr fontId="2" type="noConversion"/>
  </si>
  <si>
    <t>[표2] 적립율표</t>
    <phoneticPr fontId="2" type="noConversion"/>
  </si>
  <si>
    <t>등급</t>
    <phoneticPr fontId="2" type="noConversion"/>
  </si>
  <si>
    <t>6월</t>
    <phoneticPr fontId="2" type="noConversion"/>
  </si>
  <si>
    <t>7월</t>
    <phoneticPr fontId="2" type="noConversion"/>
  </si>
  <si>
    <t>8월</t>
    <phoneticPr fontId="2" type="noConversion"/>
  </si>
  <si>
    <t>할인비율</t>
    <phoneticPr fontId="2" type="noConversion"/>
  </si>
  <si>
    <t>할인액</t>
    <phoneticPr fontId="2" type="noConversion"/>
  </si>
  <si>
    <t>그래프</t>
    <phoneticPr fontId="2" type="noConversion"/>
  </si>
  <si>
    <t>할인액합계</t>
    <phoneticPr fontId="2" type="noConversion"/>
  </si>
  <si>
    <t>근속년수</t>
    <phoneticPr fontId="2" type="noConversion"/>
  </si>
  <si>
    <t>교육시작일</t>
    <phoneticPr fontId="2" type="noConversion"/>
  </si>
  <si>
    <t>교육종료일</t>
    <phoneticPr fontId="2" type="noConversion"/>
  </si>
  <si>
    <t>인사부/기획부 평균</t>
    <phoneticPr fontId="2" type="noConversion"/>
  </si>
  <si>
    <t>부서</t>
    <phoneticPr fontId="2" type="noConversion"/>
  </si>
  <si>
    <t>인사부</t>
    <phoneticPr fontId="2" type="noConversion"/>
  </si>
  <si>
    <t>기획부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</si>
</sst>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0_);[Red]\(0\)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  <xf numFmtId="0" fontId="6" fillId="0" borderId="0"/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2" borderId="1" xfId="3" applyFont="1" applyFill="1" applyBorder="1" applyAlignment="1">
      <alignment horizontal="center"/>
    </xf>
    <xf numFmtId="0" fontId="4" fillId="0" borderId="1" xfId="3" applyFont="1" applyBorder="1" applyAlignment="1">
      <alignment horizontal="center" wrapText="1"/>
    </xf>
    <xf numFmtId="0" fontId="0" fillId="0" borderId="1" xfId="0" applyBorder="1">
      <alignment vertical="center"/>
    </xf>
    <xf numFmtId="0" fontId="0" fillId="0" borderId="0" xfId="0" applyAlignment="1"/>
    <xf numFmtId="9" fontId="0" fillId="0" borderId="1" xfId="2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2" borderId="1" xfId="4" applyFont="1" applyFill="1" applyBorder="1" applyAlignment="1">
      <alignment horizontal="center"/>
    </xf>
    <xf numFmtId="14" fontId="5" fillId="0" borderId="1" xfId="0" applyNumberFormat="1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2" xfId="0" applyFont="1" applyBorder="1" applyAlignment="1"/>
    <xf numFmtId="0" fontId="5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41" fontId="4" fillId="0" borderId="1" xfId="1" applyFont="1" applyFill="1" applyBorder="1" applyAlignment="1">
      <alignment horizontal="center" wrapText="1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5">
    <cellStyle name="백분율" xfId="2" builtinId="5"/>
    <cellStyle name="쉼표 [0]" xfId="1" builtinId="6"/>
    <cellStyle name="표준" xfId="0" builtinId="0"/>
    <cellStyle name="표준 2" xfId="4" xr:uid="{6073383E-FD19-46B3-B232-76CF356B4369}"/>
    <cellStyle name="표준_계산작업" xfId="3" xr:uid="{9F8EB24F-25D0-49AC-9F08-1521CF1784A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672E3-8897-4F11-A466-F8B6BD79305A}">
  <sheetPr codeName="Sheet1"/>
  <dimension ref="A1:G15"/>
  <sheetViews>
    <sheetView workbookViewId="0"/>
  </sheetViews>
  <sheetFormatPr defaultRowHeight="16.5"/>
  <cols>
    <col min="1" max="1" width="8.5" customWidth="1"/>
    <col min="2" max="5" width="7" customWidth="1"/>
    <col min="6" max="6" width="6.25" bestFit="1" customWidth="1"/>
    <col min="7" max="7" width="9" bestFit="1" customWidth="1"/>
  </cols>
  <sheetData>
    <row r="1" spans="1:7">
      <c r="A1" t="s">
        <v>2</v>
      </c>
      <c r="B1" s="1"/>
      <c r="C1" s="1"/>
      <c r="D1" s="1"/>
      <c r="E1" s="1"/>
      <c r="F1" s="1"/>
      <c r="G1" s="1"/>
    </row>
    <row r="2" spans="1:7">
      <c r="A2" s="2" t="s">
        <v>1</v>
      </c>
      <c r="B2" s="2" t="s">
        <v>3</v>
      </c>
      <c r="C2" s="2" t="s">
        <v>4</v>
      </c>
      <c r="D2" s="2" t="s">
        <v>5</v>
      </c>
      <c r="E2" s="2" t="s">
        <v>6</v>
      </c>
      <c r="F2" s="3" t="s">
        <v>7</v>
      </c>
      <c r="G2" s="3" t="s">
        <v>8</v>
      </c>
    </row>
    <row r="3" spans="1:7">
      <c r="A3" s="4" t="s">
        <v>9</v>
      </c>
      <c r="B3" s="4">
        <v>1</v>
      </c>
      <c r="C3" s="4">
        <v>70</v>
      </c>
      <c r="D3" s="4">
        <v>92</v>
      </c>
      <c r="E3" s="4">
        <v>57</v>
      </c>
      <c r="F3" s="5">
        <f>SUMPRODUCT(C3:E3,{0.3,0.5,0.2})</f>
        <v>78.400000000000006</v>
      </c>
      <c r="G3" s="4">
        <f ca="1">SUMPRODUCT(C3:E3,OFFSET($A$12,MATCH(B3,$A$13:$A$15,0),1,1,3))</f>
        <v>76.200000000000017</v>
      </c>
    </row>
    <row r="4" spans="1:7">
      <c r="A4" s="4" t="s">
        <v>10</v>
      </c>
      <c r="B4" s="4">
        <v>3</v>
      </c>
      <c r="C4" s="4">
        <v>90</v>
      </c>
      <c r="D4" s="4">
        <v>70</v>
      </c>
      <c r="E4" s="4">
        <v>95</v>
      </c>
      <c r="F4" s="5">
        <f>SUMPRODUCT(C4:E4,{0.3,0.5,0.2})</f>
        <v>81</v>
      </c>
      <c r="G4" s="4">
        <f t="shared" ref="G4:G10" ca="1" si="0">SUMPRODUCT(C4:E4,OFFSET($A$12,MATCH(B4,$A$13:$A$15,0),1,1,3))</f>
        <v>81.5</v>
      </c>
    </row>
    <row r="5" spans="1:7">
      <c r="A5" s="4" t="s">
        <v>11</v>
      </c>
      <c r="B5" s="4">
        <v>2</v>
      </c>
      <c r="C5" s="4">
        <v>61</v>
      </c>
      <c r="D5" s="4">
        <v>97</v>
      </c>
      <c r="E5" s="4">
        <v>75</v>
      </c>
      <c r="F5" s="5">
        <f>SUMPRODUCT(C5:E5,{0.3,0.5,0.2})</f>
        <v>81.8</v>
      </c>
      <c r="G5" s="4">
        <f t="shared" ca="1" si="0"/>
        <v>79.600000000000009</v>
      </c>
    </row>
    <row r="6" spans="1:7">
      <c r="A6" s="4" t="s">
        <v>12</v>
      </c>
      <c r="B6" s="4">
        <v>2</v>
      </c>
      <c r="C6" s="4">
        <v>80</v>
      </c>
      <c r="D6" s="4">
        <v>93</v>
      </c>
      <c r="E6" s="4">
        <v>87</v>
      </c>
      <c r="F6" s="5">
        <f>SUMPRODUCT(C6:E6,{0.3,0.5,0.2})</f>
        <v>87.9</v>
      </c>
      <c r="G6" s="4">
        <f t="shared" ca="1" si="0"/>
        <v>87.3</v>
      </c>
    </row>
    <row r="7" spans="1:7">
      <c r="A7" s="4" t="s">
        <v>13</v>
      </c>
      <c r="B7" s="4">
        <v>1</v>
      </c>
      <c r="C7" s="4">
        <v>85</v>
      </c>
      <c r="D7" s="4">
        <v>60</v>
      </c>
      <c r="E7" s="4">
        <v>85</v>
      </c>
      <c r="F7" s="5">
        <f>SUMPRODUCT(C7:E7,{0.3,0.5,0.2})</f>
        <v>72.5</v>
      </c>
      <c r="G7" s="4">
        <f t="shared" ca="1" si="0"/>
        <v>75</v>
      </c>
    </row>
    <row r="8" spans="1:7">
      <c r="A8" s="4" t="s">
        <v>14</v>
      </c>
      <c r="B8" s="4">
        <v>3</v>
      </c>
      <c r="C8" s="4">
        <v>85</v>
      </c>
      <c r="D8" s="4">
        <v>95</v>
      </c>
      <c r="E8" s="4">
        <v>85</v>
      </c>
      <c r="F8" s="5">
        <f>SUMPRODUCT(C8:E8,{0.3,0.5,0.2})</f>
        <v>90</v>
      </c>
      <c r="G8" s="4">
        <f t="shared" ca="1" si="0"/>
        <v>90</v>
      </c>
    </row>
    <row r="9" spans="1:7">
      <c r="A9" s="4" t="s">
        <v>15</v>
      </c>
      <c r="B9" s="4">
        <v>2</v>
      </c>
      <c r="C9" s="4">
        <v>95</v>
      </c>
      <c r="D9" s="4">
        <v>95</v>
      </c>
      <c r="E9" s="4">
        <v>98</v>
      </c>
      <c r="F9" s="5">
        <f>SUMPRODUCT(C9:E9,{0.3,0.5,0.2})</f>
        <v>95.6</v>
      </c>
      <c r="G9" s="4">
        <f t="shared" ca="1" si="0"/>
        <v>95.9</v>
      </c>
    </row>
    <row r="10" spans="1:7">
      <c r="A10" s="4" t="s">
        <v>16</v>
      </c>
      <c r="B10" s="4">
        <v>1</v>
      </c>
      <c r="C10" s="4">
        <v>88</v>
      </c>
      <c r="D10" s="4">
        <v>77</v>
      </c>
      <c r="E10" s="4">
        <v>60</v>
      </c>
      <c r="F10" s="5">
        <f>SUMPRODUCT(C10:E10,{0.3,0.5,0.2})</f>
        <v>76.900000000000006</v>
      </c>
      <c r="G10" s="4">
        <f t="shared" ca="1" si="0"/>
        <v>78</v>
      </c>
    </row>
    <row r="11" spans="1:7">
      <c r="A11" s="6" t="s">
        <v>17</v>
      </c>
      <c r="B11" s="1"/>
      <c r="C11" s="1"/>
      <c r="D11" s="1"/>
    </row>
    <row r="12" spans="1:7">
      <c r="A12" s="2" t="s">
        <v>3</v>
      </c>
      <c r="B12" s="2" t="s">
        <v>4</v>
      </c>
      <c r="C12" s="2" t="s">
        <v>5</v>
      </c>
      <c r="D12" s="2" t="s">
        <v>6</v>
      </c>
      <c r="E12" s="1"/>
    </row>
    <row r="13" spans="1:7">
      <c r="A13" s="4">
        <v>1</v>
      </c>
      <c r="B13" s="7">
        <v>0.4</v>
      </c>
      <c r="C13" s="7">
        <v>0.4</v>
      </c>
      <c r="D13" s="7">
        <v>0.2</v>
      </c>
      <c r="E13" s="1"/>
    </row>
    <row r="14" spans="1:7">
      <c r="A14" s="4">
        <v>2</v>
      </c>
      <c r="B14" s="7">
        <v>0.3</v>
      </c>
      <c r="C14" s="7">
        <v>0.4</v>
      </c>
      <c r="D14" s="7">
        <v>0.3</v>
      </c>
      <c r="E14" s="1"/>
    </row>
    <row r="15" spans="1:7">
      <c r="A15" s="4">
        <v>3</v>
      </c>
      <c r="B15" s="7">
        <v>0.2</v>
      </c>
      <c r="C15" s="7">
        <v>0.5</v>
      </c>
      <c r="D15" s="7">
        <v>0.3</v>
      </c>
      <c r="E15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864-7248-4A83-9706-540E2C9925BE}">
  <sheetPr codeName="Sheet2"/>
  <dimension ref="A1:F19"/>
  <sheetViews>
    <sheetView workbookViewId="0">
      <selection activeCell="F20" sqref="F20"/>
    </sheetView>
  </sheetViews>
  <sheetFormatPr defaultRowHeight="16.5"/>
  <cols>
    <col min="2" max="2" width="11.125" bestFit="1" customWidth="1"/>
    <col min="3" max="3" width="10.25" customWidth="1"/>
    <col min="4" max="4" width="9.375" customWidth="1"/>
    <col min="5" max="6" width="9" bestFit="1" customWidth="1"/>
  </cols>
  <sheetData>
    <row r="1" spans="1:6">
      <c r="A1" t="s">
        <v>2</v>
      </c>
    </row>
    <row r="2" spans="1:6">
      <c r="A2" s="8" t="s">
        <v>92</v>
      </c>
      <c r="B2" s="8" t="s">
        <v>93</v>
      </c>
      <c r="C2" s="8" t="s">
        <v>94</v>
      </c>
      <c r="D2" s="8" t="s">
        <v>95</v>
      </c>
      <c r="E2" s="8" t="s">
        <v>96</v>
      </c>
      <c r="F2" s="9" t="s">
        <v>97</v>
      </c>
    </row>
    <row r="3" spans="1:6">
      <c r="A3" s="8" t="s">
        <v>98</v>
      </c>
      <c r="B3" s="10">
        <v>44256</v>
      </c>
      <c r="C3" s="8" t="s">
        <v>99</v>
      </c>
      <c r="D3" s="11">
        <v>35000</v>
      </c>
      <c r="E3" s="12">
        <v>12</v>
      </c>
      <c r="F3" s="13" t="str">
        <f>SUBSTITUTE(A3,MID(A3,2,1),"C")</f>
        <v>가C41</v>
      </c>
    </row>
    <row r="4" spans="1:6">
      <c r="A4" s="8" t="s">
        <v>100</v>
      </c>
      <c r="B4" s="10">
        <v>43974</v>
      </c>
      <c r="C4" s="8" t="s">
        <v>101</v>
      </c>
      <c r="D4" s="11">
        <v>72300</v>
      </c>
      <c r="E4" s="12">
        <v>18</v>
      </c>
      <c r="F4" s="13" t="str">
        <f t="shared" ref="F4:F9" si="0">SUBSTITUTE(A4,MID(A4,2,1),"C")</f>
        <v>나C26</v>
      </c>
    </row>
    <row r="5" spans="1:6">
      <c r="A5" s="8" t="s">
        <v>102</v>
      </c>
      <c r="B5" s="10">
        <v>43924</v>
      </c>
      <c r="C5" s="8" t="s">
        <v>103</v>
      </c>
      <c r="D5" s="11">
        <v>63900</v>
      </c>
      <c r="E5" s="12">
        <v>24</v>
      </c>
      <c r="F5" s="13" t="str">
        <f t="shared" si="0"/>
        <v>다C73</v>
      </c>
    </row>
    <row r="6" spans="1:6">
      <c r="A6" s="8" t="s">
        <v>104</v>
      </c>
      <c r="B6" s="10">
        <v>44205</v>
      </c>
      <c r="C6" s="8" t="s">
        <v>101</v>
      </c>
      <c r="D6" s="11">
        <v>45000</v>
      </c>
      <c r="E6" s="12">
        <v>24</v>
      </c>
      <c r="F6" s="13" t="str">
        <f t="shared" si="0"/>
        <v>가C25</v>
      </c>
    </row>
    <row r="7" spans="1:6">
      <c r="A7" s="8" t="s">
        <v>105</v>
      </c>
      <c r="B7" s="10">
        <v>43807</v>
      </c>
      <c r="C7" s="8" t="s">
        <v>99</v>
      </c>
      <c r="D7" s="11">
        <v>54500</v>
      </c>
      <c r="E7" s="12">
        <v>30</v>
      </c>
      <c r="F7" s="13" t="str">
        <f t="shared" si="0"/>
        <v>다C56</v>
      </c>
    </row>
    <row r="8" spans="1:6">
      <c r="A8" s="8" t="s">
        <v>106</v>
      </c>
      <c r="B8" s="10">
        <v>44198</v>
      </c>
      <c r="C8" s="8" t="s">
        <v>99</v>
      </c>
      <c r="D8" s="11">
        <v>25500</v>
      </c>
      <c r="E8" s="12">
        <v>27</v>
      </c>
      <c r="F8" s="13" t="str">
        <f t="shared" si="0"/>
        <v>나C92</v>
      </c>
    </row>
    <row r="9" spans="1:6">
      <c r="A9" s="8" t="s">
        <v>104</v>
      </c>
      <c r="B9" s="10">
        <v>43954</v>
      </c>
      <c r="C9" s="8" t="s">
        <v>103</v>
      </c>
      <c r="D9" s="11">
        <v>32000</v>
      </c>
      <c r="E9" s="12">
        <v>48</v>
      </c>
      <c r="F9" s="13" t="str">
        <f t="shared" si="0"/>
        <v>가C25</v>
      </c>
    </row>
    <row r="10" spans="1:6">
      <c r="A10" s="14" t="s">
        <v>18</v>
      </c>
    </row>
    <row r="11" spans="1:6">
      <c r="A11" s="28" t="s">
        <v>96</v>
      </c>
      <c r="B11" s="29"/>
      <c r="C11" s="15" t="s">
        <v>107</v>
      </c>
      <c r="D11" s="16" t="s">
        <v>108</v>
      </c>
      <c r="E11" s="17" t="s">
        <v>94</v>
      </c>
      <c r="F11" s="16" t="s">
        <v>109</v>
      </c>
    </row>
    <row r="12" spans="1:6">
      <c r="A12" s="13">
        <v>0</v>
      </c>
      <c r="B12" s="13">
        <v>12</v>
      </c>
      <c r="C12" s="13" t="str">
        <f>REPT("◆",COUNTIFS($E$3:$E$9,"&gt;="&amp;A12,$E$3:$E$9,"&lt;="&amp;B12))</f>
        <v>◆</v>
      </c>
      <c r="D12" s="13" t="str">
        <f>TEXT(SUMIFS($E$3:$E$9,$E$3:$E$9,"&gt;="&amp;A12,$E$3:$E$9,"&lt;="&amp;B12),"0개")</f>
        <v>12개</v>
      </c>
      <c r="E12" s="17" t="s">
        <v>101</v>
      </c>
      <c r="F12" s="13" t="str">
        <f>TEXT(SUMIF($C$3:$C$9,E12,$E$3:$E$9)/SUM($E$3:$E$9),"0.0%")</f>
        <v>23.0%</v>
      </c>
    </row>
    <row r="13" spans="1:6">
      <c r="A13" s="13">
        <v>13</v>
      </c>
      <c r="B13" s="13">
        <v>24</v>
      </c>
      <c r="C13" s="13" t="str">
        <f t="shared" ref="C13:C15" si="1">REPT("◆",COUNTIFS($E$3:$E$9,"&gt;="&amp;A13,$E$3:$E$9,"&lt;="&amp;B13))</f>
        <v>◆◆◆</v>
      </c>
      <c r="D13" s="13" t="str">
        <f t="shared" ref="D13:D15" si="2">TEXT(SUMIFS($E$3:$E$9,$E$3:$E$9,"&gt;="&amp;A13,$E$3:$E$9,"&lt;="&amp;B13),"0개")</f>
        <v>66개</v>
      </c>
      <c r="E13" s="17" t="s">
        <v>99</v>
      </c>
      <c r="F13" s="13" t="str">
        <f t="shared" ref="F13:F14" si="3">TEXT(SUMIF($C$3:$C$9,E13,$E$3:$E$9)/SUM($E$3:$E$9),"0.0%")</f>
        <v>37.7%</v>
      </c>
    </row>
    <row r="14" spans="1:6">
      <c r="A14" s="13">
        <v>25</v>
      </c>
      <c r="B14" s="13">
        <v>36</v>
      </c>
      <c r="C14" s="13" t="str">
        <f t="shared" si="1"/>
        <v>◆◆</v>
      </c>
      <c r="D14" s="13" t="str">
        <f t="shared" si="2"/>
        <v>57개</v>
      </c>
      <c r="E14" s="17" t="s">
        <v>103</v>
      </c>
      <c r="F14" s="13" t="str">
        <f t="shared" si="3"/>
        <v>39.3%</v>
      </c>
    </row>
    <row r="15" spans="1:6">
      <c r="A15" s="13">
        <v>37</v>
      </c>
      <c r="B15" s="13">
        <v>100</v>
      </c>
      <c r="C15" s="13" t="str">
        <f t="shared" si="1"/>
        <v>◆</v>
      </c>
      <c r="D15" s="13" t="str">
        <f t="shared" si="2"/>
        <v>48개</v>
      </c>
    </row>
    <row r="16" spans="1:6">
      <c r="A16" t="s">
        <v>110</v>
      </c>
      <c r="B16" t="s">
        <v>111</v>
      </c>
    </row>
    <row r="17" spans="1:6">
      <c r="A17" s="30" t="s">
        <v>112</v>
      </c>
      <c r="B17" s="30"/>
      <c r="C17" s="18">
        <f>ROUNDUP(DAVERAGE(A2:F9,4,E17:F19),-3)</f>
        <v>42000</v>
      </c>
      <c r="E17" t="s">
        <v>94</v>
      </c>
      <c r="F17" s="19" t="s">
        <v>113</v>
      </c>
    </row>
    <row r="18" spans="1:6">
      <c r="E18" t="s">
        <v>101</v>
      </c>
      <c r="F18" t="b">
        <f>E3&gt;=_xlfn.MODE.SNGL($E$3:$E$9)</f>
        <v>0</v>
      </c>
    </row>
    <row r="19" spans="1:6">
      <c r="E19" t="s">
        <v>99</v>
      </c>
      <c r="F19" t="b">
        <f>E3&gt;=_xlfn.MODE.SNGL($E$3:$E$9)</f>
        <v>0</v>
      </c>
    </row>
  </sheetData>
  <mergeCells count="2">
    <mergeCell ref="A11:B11"/>
    <mergeCell ref="A17:B17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6C88-910F-463C-89C9-A85B4C7F61F3}">
  <sheetPr codeName="Sheet3"/>
  <dimension ref="A1:D16"/>
  <sheetViews>
    <sheetView workbookViewId="0"/>
  </sheetViews>
  <sheetFormatPr defaultRowHeight="16.5"/>
  <cols>
    <col min="1" max="1" width="11.125" bestFit="1" customWidth="1"/>
    <col min="2" max="2" width="13" bestFit="1" customWidth="1"/>
    <col min="3" max="3" width="11.125" bestFit="1" customWidth="1"/>
    <col min="4" max="4" width="15.375" bestFit="1" customWidth="1"/>
  </cols>
  <sheetData>
    <row r="1" spans="1:4">
      <c r="A1" t="s">
        <v>0</v>
      </c>
      <c r="B1" s="1"/>
      <c r="C1" s="1" t="s">
        <v>22</v>
      </c>
      <c r="D1" s="20">
        <v>44296</v>
      </c>
    </row>
    <row r="2" spans="1:4">
      <c r="A2" s="13" t="s">
        <v>23</v>
      </c>
      <c r="B2" s="16" t="s">
        <v>24</v>
      </c>
      <c r="C2" s="13" t="s">
        <v>25</v>
      </c>
      <c r="D2" s="15" t="s">
        <v>26</v>
      </c>
    </row>
    <row r="3" spans="1:4">
      <c r="A3" s="21">
        <v>43925</v>
      </c>
      <c r="B3" s="13" t="str">
        <f>TEXT(QUOTIENT(_xlfn.DAYS($D$1,A3),30),"00개월")</f>
        <v>12개월</v>
      </c>
      <c r="C3" s="21">
        <v>44323</v>
      </c>
      <c r="D3" s="22" t="str">
        <f>TEXT(WORKDAY(C3,3,$A$14:$A$15),"MM월DD일AAAA")</f>
        <v>05월12일수요일</v>
      </c>
    </row>
    <row r="4" spans="1:4">
      <c r="A4" s="21">
        <v>43985</v>
      </c>
      <c r="B4" s="13" t="str">
        <f t="shared" ref="B4:B11" si="0">TEXT(QUOTIENT(_xlfn.DAYS($D$1,A4),30),"00개월")</f>
        <v>10개월</v>
      </c>
      <c r="C4" s="21">
        <v>44337</v>
      </c>
      <c r="D4" s="22" t="str">
        <f t="shared" ref="D4:D11" si="1">TEXT(WORKDAY(C4,3,$A$14:$A$15),"MM월DD일AAAA")</f>
        <v>05월26일수요일</v>
      </c>
    </row>
    <row r="5" spans="1:4">
      <c r="A5" s="21">
        <v>44002</v>
      </c>
      <c r="B5" s="13" t="str">
        <f t="shared" si="0"/>
        <v>09개월</v>
      </c>
      <c r="C5" s="21">
        <v>44352</v>
      </c>
      <c r="D5" s="22" t="str">
        <f t="shared" si="1"/>
        <v>06월09일수요일</v>
      </c>
    </row>
    <row r="6" spans="1:4">
      <c r="A6" s="21">
        <v>43978</v>
      </c>
      <c r="B6" s="13" t="str">
        <f t="shared" si="0"/>
        <v>10개월</v>
      </c>
      <c r="C6" s="21">
        <v>44355</v>
      </c>
      <c r="D6" s="22" t="str">
        <f t="shared" si="1"/>
        <v>06월11일금요일</v>
      </c>
    </row>
    <row r="7" spans="1:4">
      <c r="A7" s="21">
        <v>43862</v>
      </c>
      <c r="B7" s="13" t="str">
        <f t="shared" si="0"/>
        <v>14개월</v>
      </c>
      <c r="C7" s="21">
        <v>44363</v>
      </c>
      <c r="D7" s="22" t="str">
        <f t="shared" si="1"/>
        <v>06월21일월요일</v>
      </c>
    </row>
    <row r="8" spans="1:4">
      <c r="A8" s="21">
        <v>44138</v>
      </c>
      <c r="B8" s="13" t="str">
        <f t="shared" si="0"/>
        <v>05개월</v>
      </c>
      <c r="C8" s="21">
        <v>44369</v>
      </c>
      <c r="D8" s="22" t="str">
        <f t="shared" si="1"/>
        <v>06월25일금요일</v>
      </c>
    </row>
    <row r="9" spans="1:4">
      <c r="A9" s="21">
        <v>43923</v>
      </c>
      <c r="B9" s="13" t="str">
        <f t="shared" si="0"/>
        <v>12개월</v>
      </c>
      <c r="C9" s="21">
        <v>44378</v>
      </c>
      <c r="D9" s="22" t="str">
        <f t="shared" si="1"/>
        <v>07월06일화요일</v>
      </c>
    </row>
    <row r="10" spans="1:4">
      <c r="A10" s="21">
        <v>44085</v>
      </c>
      <c r="B10" s="13" t="str">
        <f t="shared" si="0"/>
        <v>07개월</v>
      </c>
      <c r="C10" s="21">
        <v>44397</v>
      </c>
      <c r="D10" s="22" t="str">
        <f t="shared" si="1"/>
        <v>07월23일금요일</v>
      </c>
    </row>
    <row r="11" spans="1:4">
      <c r="A11" s="21">
        <v>44036</v>
      </c>
      <c r="B11" s="13" t="str">
        <f t="shared" si="0"/>
        <v>08개월</v>
      </c>
      <c r="C11" s="21">
        <v>44418</v>
      </c>
      <c r="D11" s="22" t="str">
        <f t="shared" si="1"/>
        <v>08월13일금요일</v>
      </c>
    </row>
    <row r="12" spans="1:4">
      <c r="A12" s="6" t="s">
        <v>18</v>
      </c>
      <c r="B12" s="1"/>
    </row>
    <row r="13" spans="1:4">
      <c r="A13" s="28" t="s">
        <v>27</v>
      </c>
      <c r="B13" s="29"/>
    </row>
    <row r="14" spans="1:4">
      <c r="A14" s="21">
        <v>44321</v>
      </c>
      <c r="B14" s="13" t="s">
        <v>28</v>
      </c>
    </row>
    <row r="15" spans="1:4">
      <c r="A15" s="21">
        <v>44335</v>
      </c>
      <c r="B15" s="13" t="s">
        <v>29</v>
      </c>
    </row>
    <row r="16" spans="1:4">
      <c r="A16" s="1"/>
      <c r="B16" s="1"/>
    </row>
  </sheetData>
  <mergeCells count="1">
    <mergeCell ref="A13:B13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E648A-524C-44A9-ACB9-75DB5E3A9633}">
  <sheetPr codeName="Sheet4"/>
  <dimension ref="A1:I18"/>
  <sheetViews>
    <sheetView workbookViewId="0"/>
  </sheetViews>
  <sheetFormatPr defaultRowHeight="16.5"/>
  <cols>
    <col min="1" max="1" width="10.125" customWidth="1"/>
    <col min="2" max="2" width="15.875" bestFit="1" customWidth="1"/>
    <col min="3" max="3" width="5.25" bestFit="1" customWidth="1"/>
    <col min="4" max="6" width="9.125" bestFit="1" customWidth="1"/>
    <col min="7" max="7" width="9.375" bestFit="1" customWidth="1"/>
    <col min="8" max="8" width="9" bestFit="1" customWidth="1"/>
    <col min="9" max="9" width="14.125" bestFit="1" customWidth="1"/>
  </cols>
  <sheetData>
    <row r="1" spans="1:9">
      <c r="A1" t="s">
        <v>2</v>
      </c>
      <c r="C1" s="1"/>
      <c r="D1" s="1"/>
      <c r="E1" s="1"/>
      <c r="F1" s="1"/>
      <c r="G1" s="1"/>
      <c r="H1" s="1"/>
    </row>
    <row r="2" spans="1:9">
      <c r="A2" s="2" t="s">
        <v>36</v>
      </c>
      <c r="B2" s="8" t="s">
        <v>37</v>
      </c>
      <c r="C2" s="2" t="s">
        <v>38</v>
      </c>
      <c r="D2" s="2" t="s">
        <v>39</v>
      </c>
      <c r="E2" s="2" t="s">
        <v>40</v>
      </c>
      <c r="F2" s="2" t="s">
        <v>41</v>
      </c>
      <c r="G2" s="3" t="s">
        <v>42</v>
      </c>
      <c r="H2" s="3" t="s">
        <v>43</v>
      </c>
      <c r="I2" s="9" t="s">
        <v>44</v>
      </c>
    </row>
    <row r="3" spans="1:9">
      <c r="A3" s="4" t="s">
        <v>30</v>
      </c>
      <c r="B3" s="23" t="s">
        <v>114</v>
      </c>
      <c r="C3" s="4" t="s">
        <v>115</v>
      </c>
      <c r="D3" s="24">
        <v>280000</v>
      </c>
      <c r="E3" s="24">
        <v>200000</v>
      </c>
      <c r="F3" s="24">
        <v>250000</v>
      </c>
      <c r="G3" s="25">
        <f>SUMPRODUCT(D3:F3,{0.06,0.07,0.08})</f>
        <v>50800</v>
      </c>
      <c r="H3" s="24">
        <f ca="1">SUMPRODUCT(D3:F3,OFFSET($A$12,MATCH(C3,$A$13:$A$15,0),1,1,3))</f>
        <v>41500</v>
      </c>
      <c r="I3" s="13" t="str">
        <f>SUBSTITUTE(B3,MID(B3,9,6),"******")</f>
        <v>040118-4******</v>
      </c>
    </row>
    <row r="4" spans="1:9">
      <c r="A4" s="4" t="s">
        <v>31</v>
      </c>
      <c r="B4" s="8" t="s">
        <v>116</v>
      </c>
      <c r="C4" s="4" t="s">
        <v>117</v>
      </c>
      <c r="D4" s="24">
        <v>110000</v>
      </c>
      <c r="E4" s="24">
        <v>120000</v>
      </c>
      <c r="F4" s="24">
        <v>100000</v>
      </c>
      <c r="G4" s="25">
        <f>SUMPRODUCT(D4:F4,{0.06,0.07,0.08})</f>
        <v>23000</v>
      </c>
      <c r="H4" s="24">
        <f t="shared" ref="H4:H10" ca="1" si="0">SUMPRODUCT(D4:F4,OFFSET($A$12,MATCH(C4,$A$13:$A$15,0),1,1,3))</f>
        <v>13100</v>
      </c>
      <c r="I4" s="13" t="str">
        <f t="shared" ref="I4:I9" si="1">SUBSTITUTE(B4,MID(B4,9,6),"******")</f>
        <v>030701-3******</v>
      </c>
    </row>
    <row r="5" spans="1:9">
      <c r="A5" s="4" t="s">
        <v>118</v>
      </c>
      <c r="B5" s="8" t="s">
        <v>119</v>
      </c>
      <c r="C5" s="4" t="s">
        <v>117</v>
      </c>
      <c r="D5" s="24">
        <v>150000</v>
      </c>
      <c r="E5" s="24">
        <v>145000</v>
      </c>
      <c r="F5" s="24">
        <v>130000</v>
      </c>
      <c r="G5" s="25">
        <f>SUMPRODUCT(D5:F5,{0.06,0.07,0.08})</f>
        <v>29550</v>
      </c>
      <c r="H5" s="24">
        <f t="shared" ca="1" si="0"/>
        <v>16800</v>
      </c>
      <c r="I5" s="13" t="str">
        <f t="shared" si="1"/>
        <v>040116-3******</v>
      </c>
    </row>
    <row r="6" spans="1:9">
      <c r="A6" s="4" t="s">
        <v>32</v>
      </c>
      <c r="B6" s="8" t="s">
        <v>120</v>
      </c>
      <c r="C6" s="4" t="s">
        <v>121</v>
      </c>
      <c r="D6" s="24">
        <v>50000</v>
      </c>
      <c r="E6" s="24">
        <v>75000</v>
      </c>
      <c r="F6" s="24">
        <v>90000</v>
      </c>
      <c r="G6" s="25">
        <f>SUMPRODUCT(D6:F6,{0.06,0.07,0.08})</f>
        <v>15450</v>
      </c>
      <c r="H6" s="24">
        <f t="shared" ca="1" si="0"/>
        <v>4700</v>
      </c>
      <c r="I6" s="13" t="str">
        <f t="shared" si="1"/>
        <v>050125-3******</v>
      </c>
    </row>
    <row r="7" spans="1:9">
      <c r="A7" s="4" t="s">
        <v>122</v>
      </c>
      <c r="B7" s="8" t="s">
        <v>123</v>
      </c>
      <c r="C7" s="4" t="s">
        <v>115</v>
      </c>
      <c r="D7" s="24">
        <v>300000</v>
      </c>
      <c r="E7" s="24">
        <v>250000</v>
      </c>
      <c r="F7" s="24">
        <v>350000</v>
      </c>
      <c r="G7" s="25">
        <f>SUMPRODUCT(D7:F7,{0.06,0.07,0.08})</f>
        <v>63500</v>
      </c>
      <c r="H7" s="24">
        <f t="shared" ca="1" si="0"/>
        <v>52000</v>
      </c>
      <c r="I7" s="13" t="str">
        <f t="shared" si="1"/>
        <v>041117-4******</v>
      </c>
    </row>
    <row r="8" spans="1:9">
      <c r="A8" s="4" t="s">
        <v>33</v>
      </c>
      <c r="B8" s="8" t="s">
        <v>124</v>
      </c>
      <c r="C8" s="4" t="s">
        <v>121</v>
      </c>
      <c r="D8" s="24">
        <v>95000</v>
      </c>
      <c r="E8" s="24">
        <v>100000</v>
      </c>
      <c r="F8" s="24">
        <v>75000</v>
      </c>
      <c r="G8" s="25">
        <f>SUMPRODUCT(D8:F8,{0.06,0.07,0.08})</f>
        <v>18700</v>
      </c>
      <c r="H8" s="24">
        <f t="shared" ca="1" si="0"/>
        <v>5200</v>
      </c>
      <c r="I8" s="13" t="str">
        <f t="shared" si="1"/>
        <v>051109-4******</v>
      </c>
    </row>
    <row r="9" spans="1:9">
      <c r="A9" s="4" t="s">
        <v>34</v>
      </c>
      <c r="B9" s="8" t="s">
        <v>125</v>
      </c>
      <c r="C9" s="4" t="s">
        <v>117</v>
      </c>
      <c r="D9" s="24">
        <v>190000</v>
      </c>
      <c r="E9" s="24">
        <v>140000</v>
      </c>
      <c r="F9" s="24">
        <v>165000</v>
      </c>
      <c r="G9" s="25">
        <f>SUMPRODUCT(D9:F9,{0.06,0.07,0.08})</f>
        <v>34400</v>
      </c>
      <c r="H9" s="24">
        <f t="shared" ca="1" si="0"/>
        <v>19550</v>
      </c>
      <c r="I9" s="13" t="str">
        <f t="shared" si="1"/>
        <v>030131-3******</v>
      </c>
    </row>
    <row r="10" spans="1:9">
      <c r="A10" s="4" t="s">
        <v>35</v>
      </c>
      <c r="B10" s="13" t="s">
        <v>126</v>
      </c>
      <c r="C10" s="4" t="s">
        <v>121</v>
      </c>
      <c r="D10" s="24">
        <v>35000</v>
      </c>
      <c r="E10" s="24">
        <v>50000</v>
      </c>
      <c r="F10" s="24">
        <v>17000</v>
      </c>
      <c r="G10" s="25">
        <f>SUMPRODUCT(D10:F10,{0.06,0.07,0.08})</f>
        <v>6960</v>
      </c>
      <c r="H10" s="24">
        <f t="shared" ca="1" si="0"/>
        <v>1860</v>
      </c>
      <c r="I10" s="13" t="str">
        <f>SUBSTITUTE(B10,MID(B10,9,6),"******")</f>
        <v>010512-3******</v>
      </c>
    </row>
    <row r="11" spans="1:9">
      <c r="A11" s="6" t="s">
        <v>127</v>
      </c>
      <c r="B11" s="1"/>
      <c r="C11" s="1"/>
      <c r="D11" s="1"/>
      <c r="F11" s="1"/>
      <c r="G11" s="1"/>
    </row>
    <row r="12" spans="1:9">
      <c r="A12" s="2" t="s">
        <v>128</v>
      </c>
      <c r="B12" s="2" t="s">
        <v>129</v>
      </c>
      <c r="C12" s="2" t="s">
        <v>130</v>
      </c>
      <c r="D12" s="2" t="s">
        <v>131</v>
      </c>
      <c r="E12" s="3" t="s">
        <v>132</v>
      </c>
      <c r="F12" s="28" t="s">
        <v>133</v>
      </c>
      <c r="G12" s="29"/>
      <c r="H12" s="3" t="s">
        <v>134</v>
      </c>
      <c r="I12" s="3" t="s">
        <v>135</v>
      </c>
    </row>
    <row r="13" spans="1:9">
      <c r="A13" s="4" t="s">
        <v>115</v>
      </c>
      <c r="B13" s="7">
        <v>0.05</v>
      </c>
      <c r="C13" s="7">
        <v>0.05</v>
      </c>
      <c r="D13" s="7">
        <v>7.0000000000000007E-2</v>
      </c>
      <c r="E13" s="13" t="str">
        <f>TEXT(SUMIF($C$3:$C$10,A13,$G$3:$G$10)/SUM($G$3:$G$10),"0%")</f>
        <v>47%</v>
      </c>
      <c r="F13" s="13">
        <v>0</v>
      </c>
      <c r="G13" s="26">
        <v>10000</v>
      </c>
      <c r="H13" s="5" t="str">
        <f>REPT("★",COUNTIFS($G$3:$G$10,"&gt;="&amp;F13,$G$3:$G$10,"&lt;="&amp;G13))</f>
        <v>★</v>
      </c>
      <c r="I13" s="26" t="str">
        <f>TEXT(SUMIFS($G$3:$G$10,$G$3:$G$10,"&gt;="&amp;F13,$G$3:$G$10,"&lt;="&amp;G13),"#,##0원")</f>
        <v>6,960원</v>
      </c>
    </row>
    <row r="14" spans="1:9">
      <c r="A14" s="4" t="s">
        <v>117</v>
      </c>
      <c r="B14" s="7">
        <v>0.03</v>
      </c>
      <c r="C14" s="7">
        <v>0.04</v>
      </c>
      <c r="D14" s="7">
        <v>0.05</v>
      </c>
      <c r="E14" s="13" t="str">
        <f t="shared" ref="E14:E15" si="2">TEXT(SUMIF($C$3:$C$10,A14,$G$3:$G$10)/SUM($G$3:$G$10),"0%")</f>
        <v>36%</v>
      </c>
      <c r="F14" s="26">
        <v>10001</v>
      </c>
      <c r="G14" s="26">
        <v>30000</v>
      </c>
      <c r="H14" s="5" t="str">
        <f t="shared" ref="H14:H16" si="3">REPT("★",COUNTIFS($G$3:$G$10,"&gt;="&amp;F14,$G$3:$G$10,"&lt;="&amp;G14))</f>
        <v>★★★★</v>
      </c>
      <c r="I14" s="26" t="str">
        <f>TEXT(SUMIFS($G$3:$G$10,$G$3:$G$10,"&gt;="&amp;F14,$G$3:$G$10,"&lt;="&amp;G14),"#,##0원")</f>
        <v>86,700원</v>
      </c>
    </row>
    <row r="15" spans="1:9">
      <c r="A15" s="4" t="s">
        <v>121</v>
      </c>
      <c r="B15" s="7">
        <v>0.01</v>
      </c>
      <c r="C15" s="7">
        <v>0.02</v>
      </c>
      <c r="D15" s="7">
        <v>0.03</v>
      </c>
      <c r="E15" s="13" t="str">
        <f t="shared" si="2"/>
        <v>17%</v>
      </c>
      <c r="F15" s="26">
        <v>30002</v>
      </c>
      <c r="G15" s="26">
        <v>40000</v>
      </c>
      <c r="H15" s="5" t="str">
        <f t="shared" si="3"/>
        <v>★</v>
      </c>
      <c r="I15" s="26" t="str">
        <f>TEXT(SUMIFS($G$3:$G$10,$G$3:$G$10,"&gt;="&amp;F15,$G$3:$G$10,"&lt;="&amp;G15),"#,##0원")</f>
        <v>34,400원</v>
      </c>
    </row>
    <row r="16" spans="1:9">
      <c r="B16" s="1"/>
      <c r="C16" s="1"/>
      <c r="D16" s="1"/>
      <c r="E16" s="1"/>
      <c r="F16" s="26">
        <v>40001</v>
      </c>
      <c r="G16" s="26">
        <v>100000</v>
      </c>
      <c r="H16" s="5" t="str">
        <f t="shared" si="3"/>
        <v>★★</v>
      </c>
      <c r="I16" s="26" t="str">
        <f>TEXT(SUMIFS($G$3:$G$10,$G$3:$G$10,"&gt;="&amp;F16,$G$3:$G$10,"&lt;="&amp;G16),"#,##0원")</f>
        <v>114,300원</v>
      </c>
    </row>
    <row r="17" spans="1:5">
      <c r="A17" s="1"/>
      <c r="B17" s="1"/>
      <c r="C17" s="1"/>
      <c r="D17" s="1"/>
      <c r="E17" s="1"/>
    </row>
    <row r="18" spans="1:5">
      <c r="A18" s="1"/>
      <c r="B18" s="1"/>
      <c r="C18" s="1"/>
      <c r="D18" s="1"/>
      <c r="E18" s="1"/>
    </row>
  </sheetData>
  <mergeCells count="1">
    <mergeCell ref="F12:G1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14FF7-136A-4EE7-B4A5-297371D0E8F8}">
  <sheetPr codeName="Sheet5"/>
  <dimension ref="A1:F17"/>
  <sheetViews>
    <sheetView tabSelected="1" workbookViewId="0">
      <selection activeCell="H18" sqref="H18"/>
    </sheetView>
  </sheetViews>
  <sheetFormatPr defaultRowHeight="16.5"/>
  <cols>
    <col min="1" max="1" width="11.125" bestFit="1" customWidth="1"/>
    <col min="2" max="2" width="11" bestFit="1" customWidth="1"/>
    <col min="3" max="3" width="9" bestFit="1" customWidth="1"/>
    <col min="4" max="4" width="10.375" bestFit="1" customWidth="1"/>
    <col min="5" max="5" width="11.125" bestFit="1" customWidth="1"/>
    <col min="6" max="6" width="15.375" bestFit="1" customWidth="1"/>
  </cols>
  <sheetData>
    <row r="1" spans="1:6">
      <c r="A1" t="s">
        <v>2</v>
      </c>
      <c r="D1" s="1"/>
      <c r="E1" s="1" t="s">
        <v>45</v>
      </c>
      <c r="F1" s="20">
        <v>44342</v>
      </c>
    </row>
    <row r="2" spans="1:6">
      <c r="A2" s="13" t="s">
        <v>46</v>
      </c>
      <c r="B2" s="13" t="s">
        <v>47</v>
      </c>
      <c r="C2" s="13" t="s">
        <v>48</v>
      </c>
      <c r="D2" s="16" t="s">
        <v>136</v>
      </c>
      <c r="E2" s="13" t="s">
        <v>137</v>
      </c>
      <c r="F2" s="15" t="s">
        <v>138</v>
      </c>
    </row>
    <row r="3" spans="1:6">
      <c r="A3" s="21">
        <v>40608</v>
      </c>
      <c r="B3" s="21" t="s">
        <v>49</v>
      </c>
      <c r="C3" s="13">
        <v>93</v>
      </c>
      <c r="D3" s="13" t="str">
        <f>TEXT(QUOTIENT(_xlfn.DAYS($F$1,A3),360),"00년")</f>
        <v>10년</v>
      </c>
      <c r="E3" s="21">
        <v>44382</v>
      </c>
      <c r="F3" s="22" t="str">
        <f>TEXT(WORKDAY(E3,5,$A$13),"MM월DD일(AAA)")</f>
        <v>07월13일(화)</v>
      </c>
    </row>
    <row r="4" spans="1:6">
      <c r="A4" s="21">
        <v>42183</v>
      </c>
      <c r="B4" s="21" t="s">
        <v>49</v>
      </c>
      <c r="C4" s="13">
        <v>79</v>
      </c>
      <c r="D4" s="13" t="str">
        <f t="shared" ref="D4:D10" si="0">TEXT(QUOTIENT(_xlfn.DAYS($F$1,A4),360),"00년")</f>
        <v>05년</v>
      </c>
      <c r="E4" s="21">
        <v>44379</v>
      </c>
      <c r="F4" s="22" t="str">
        <f t="shared" ref="F4:F10" si="1">TEXT(WORKDAY(E4,5,$A$13),"MM월DD일(AAA)")</f>
        <v>07월12일(월)</v>
      </c>
    </row>
    <row r="5" spans="1:6">
      <c r="A5" s="21">
        <v>43704</v>
      </c>
      <c r="B5" s="21" t="s">
        <v>50</v>
      </c>
      <c r="C5" s="13">
        <v>87</v>
      </c>
      <c r="D5" s="13" t="str">
        <f t="shared" si="0"/>
        <v>01년</v>
      </c>
      <c r="E5" s="21">
        <v>44406</v>
      </c>
      <c r="F5" s="22" t="str">
        <f t="shared" si="1"/>
        <v>08월05일(목)</v>
      </c>
    </row>
    <row r="6" spans="1:6">
      <c r="A6" s="21">
        <v>43239</v>
      </c>
      <c r="B6" s="21" t="s">
        <v>49</v>
      </c>
      <c r="C6" s="13">
        <v>87</v>
      </c>
      <c r="D6" s="13" t="str">
        <f t="shared" si="0"/>
        <v>03년</v>
      </c>
      <c r="E6" s="21">
        <v>44391</v>
      </c>
      <c r="F6" s="22" t="str">
        <f t="shared" si="1"/>
        <v>07월21일(수)</v>
      </c>
    </row>
    <row r="7" spans="1:6">
      <c r="A7" s="21">
        <v>40615</v>
      </c>
      <c r="B7" s="21" t="s">
        <v>51</v>
      </c>
      <c r="C7" s="13">
        <v>94</v>
      </c>
      <c r="D7" s="13" t="str">
        <f t="shared" si="0"/>
        <v>10년</v>
      </c>
      <c r="E7" s="21">
        <v>44399</v>
      </c>
      <c r="F7" s="22" t="str">
        <f t="shared" si="1"/>
        <v>07월29일(목)</v>
      </c>
    </row>
    <row r="8" spans="1:6">
      <c r="A8" s="21">
        <v>41651</v>
      </c>
      <c r="B8" s="21" t="s">
        <v>50</v>
      </c>
      <c r="C8" s="13">
        <v>92</v>
      </c>
      <c r="D8" s="13" t="str">
        <f t="shared" si="0"/>
        <v>07년</v>
      </c>
      <c r="E8" s="21">
        <v>44398</v>
      </c>
      <c r="F8" s="22" t="str">
        <f t="shared" si="1"/>
        <v>07월28일(수)</v>
      </c>
    </row>
    <row r="9" spans="1:6">
      <c r="A9" s="21">
        <v>38968</v>
      </c>
      <c r="B9" s="21" t="s">
        <v>50</v>
      </c>
      <c r="C9" s="13">
        <v>95</v>
      </c>
      <c r="D9" s="13" t="str">
        <f t="shared" si="0"/>
        <v>14년</v>
      </c>
      <c r="E9" s="21">
        <v>44379</v>
      </c>
      <c r="F9" s="22" t="str">
        <f t="shared" si="1"/>
        <v>07월12일(월)</v>
      </c>
    </row>
    <row r="10" spans="1:6">
      <c r="A10" s="21">
        <v>43772</v>
      </c>
      <c r="B10" s="21" t="s">
        <v>51</v>
      </c>
      <c r="C10" s="13">
        <v>92</v>
      </c>
      <c r="D10" s="13" t="str">
        <f t="shared" si="0"/>
        <v>01년</v>
      </c>
      <c r="E10" s="21">
        <v>44387</v>
      </c>
      <c r="F10" s="22" t="str">
        <f t="shared" si="1"/>
        <v>07월16일(금)</v>
      </c>
    </row>
    <row r="11" spans="1:6">
      <c r="A11" s="6" t="s">
        <v>20</v>
      </c>
      <c r="B11" s="1"/>
      <c r="C11" s="1"/>
      <c r="D11" t="s">
        <v>110</v>
      </c>
    </row>
    <row r="12" spans="1:6">
      <c r="A12" s="28" t="s">
        <v>52</v>
      </c>
      <c r="B12" s="29"/>
      <c r="C12" s="1"/>
      <c r="D12" s="30" t="s">
        <v>139</v>
      </c>
      <c r="E12" s="30"/>
      <c r="F12" s="18">
        <f>ROUNDUP(DAVERAGE(A2:F10,3,D14:E16),0)</f>
        <v>93</v>
      </c>
    </row>
    <row r="13" spans="1:6">
      <c r="A13" s="21">
        <v>44384</v>
      </c>
      <c r="B13" s="13" t="s">
        <v>53</v>
      </c>
      <c r="C13" s="1"/>
    </row>
    <row r="14" spans="1:6">
      <c r="D14" t="s">
        <v>140</v>
      </c>
      <c r="E14" s="19" t="s">
        <v>113</v>
      </c>
    </row>
    <row r="15" spans="1:6">
      <c r="D15" s="27" t="s">
        <v>141</v>
      </c>
      <c r="E15" t="b">
        <f>C3&gt;_xlfn.MODE.SNGL($C$3:$C$10)</f>
        <v>1</v>
      </c>
    </row>
    <row r="16" spans="1:6">
      <c r="D16" s="27" t="s">
        <v>142</v>
      </c>
      <c r="E16" t="b">
        <f>C3&gt;_xlfn.MODE.SNGL($C$3:$C$10)</f>
        <v>1</v>
      </c>
    </row>
    <row r="17" spans="4:4">
      <c r="D17" s="1"/>
    </row>
  </sheetData>
  <mergeCells count="2">
    <mergeCell ref="A12:B12"/>
    <mergeCell ref="D12:E1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E31AB-9E26-4CAD-BD6F-7180FD72C67F}">
  <sheetPr codeName="Sheet6"/>
  <dimension ref="A1:G17"/>
  <sheetViews>
    <sheetView workbookViewId="0"/>
  </sheetViews>
  <sheetFormatPr defaultRowHeight="16.5"/>
  <cols>
    <col min="1" max="1" width="7.75" customWidth="1"/>
    <col min="2" max="3" width="8.375" bestFit="1" customWidth="1"/>
    <col min="4" max="4" width="6.625" customWidth="1"/>
    <col min="5" max="6" width="9.125" bestFit="1" customWidth="1"/>
    <col min="7" max="7" width="11.5" customWidth="1"/>
  </cols>
  <sheetData>
    <row r="1" spans="1:7">
      <c r="A1" s="1" t="s">
        <v>2</v>
      </c>
      <c r="B1" s="1"/>
      <c r="C1" s="1"/>
      <c r="D1" s="1"/>
      <c r="E1" s="1"/>
      <c r="F1" s="1"/>
    </row>
    <row r="2" spans="1:7">
      <c r="A2" s="2" t="s">
        <v>1</v>
      </c>
      <c r="B2" s="13" t="s">
        <v>54</v>
      </c>
      <c r="C2" s="2" t="s">
        <v>55</v>
      </c>
      <c r="D2" s="2" t="s">
        <v>56</v>
      </c>
      <c r="E2" s="2" t="s">
        <v>57</v>
      </c>
      <c r="F2" s="3" t="s">
        <v>58</v>
      </c>
      <c r="G2" s="16" t="s">
        <v>19</v>
      </c>
    </row>
    <row r="3" spans="1:7">
      <c r="A3" s="4" t="s">
        <v>9</v>
      </c>
      <c r="B3" s="13" t="s">
        <v>59</v>
      </c>
      <c r="C3" s="4" t="s">
        <v>60</v>
      </c>
      <c r="D3" s="4">
        <v>8</v>
      </c>
      <c r="E3" s="4"/>
      <c r="F3" s="24">
        <f t="shared" ref="F3:F10" ca="1" si="0">SUMPRODUCT(D3:E3,OFFSET($A$12,MATCH(C3,$A$13:$A$17,0),1,1,2))</f>
        <v>120000</v>
      </c>
      <c r="G3" s="13" t="str">
        <f>IF(LEFT(B3,1)="5",SUBSTITUTE(B3,LEFT(B3,1),"K"),SUBSTITUTE(B3,LEFT(B3,1),"Z"))</f>
        <v>ZD055</v>
      </c>
    </row>
    <row r="4" spans="1:7">
      <c r="A4" s="4" t="s">
        <v>10</v>
      </c>
      <c r="B4" s="13" t="s">
        <v>61</v>
      </c>
      <c r="C4" s="4" t="s">
        <v>62</v>
      </c>
      <c r="D4" s="4">
        <v>10</v>
      </c>
      <c r="E4" s="4">
        <v>2</v>
      </c>
      <c r="F4" s="24">
        <f t="shared" ca="1" si="0"/>
        <v>166000</v>
      </c>
      <c r="G4" s="13" t="str">
        <f t="shared" ref="G4:G10" si="1">IF(LEFT(B4,1)="5",SUBSTITUTE(B4,LEFT(B4,1),"K"),SUBSTITUTE(B4,LEFT(B4,1),"Z"))</f>
        <v>ZA835</v>
      </c>
    </row>
    <row r="5" spans="1:7">
      <c r="A5" s="4" t="s">
        <v>11</v>
      </c>
      <c r="B5" s="13" t="s">
        <v>63</v>
      </c>
      <c r="C5" s="4" t="s">
        <v>60</v>
      </c>
      <c r="D5" s="4">
        <v>4</v>
      </c>
      <c r="E5" s="4">
        <v>5</v>
      </c>
      <c r="F5" s="24">
        <f t="shared" ca="1" si="0"/>
        <v>160000</v>
      </c>
      <c r="G5" s="13" t="str">
        <f t="shared" si="1"/>
        <v>KA430</v>
      </c>
    </row>
    <row r="6" spans="1:7">
      <c r="A6" s="4" t="s">
        <v>12</v>
      </c>
      <c r="B6" s="13" t="s">
        <v>64</v>
      </c>
      <c r="C6" s="4" t="s">
        <v>62</v>
      </c>
      <c r="D6" s="4">
        <v>2</v>
      </c>
      <c r="E6" s="4"/>
      <c r="F6" s="24">
        <f t="shared" ca="1" si="0"/>
        <v>26000</v>
      </c>
      <c r="G6" s="13" t="str">
        <f t="shared" si="1"/>
        <v>ZC317</v>
      </c>
    </row>
    <row r="7" spans="1:7">
      <c r="A7" s="4" t="s">
        <v>13</v>
      </c>
      <c r="B7" s="13" t="s">
        <v>65</v>
      </c>
      <c r="C7" s="4" t="s">
        <v>66</v>
      </c>
      <c r="D7" s="4">
        <v>8</v>
      </c>
      <c r="E7" s="4">
        <v>1</v>
      </c>
      <c r="F7" s="24">
        <f t="shared" ca="1" si="0"/>
        <v>185000</v>
      </c>
      <c r="G7" s="13" t="str">
        <f t="shared" si="1"/>
        <v>KA794</v>
      </c>
    </row>
    <row r="8" spans="1:7">
      <c r="A8" s="4" t="s">
        <v>14</v>
      </c>
      <c r="B8" s="13" t="s">
        <v>67</v>
      </c>
      <c r="C8" s="4" t="s">
        <v>68</v>
      </c>
      <c r="D8" s="4">
        <v>15</v>
      </c>
      <c r="E8" s="4">
        <v>5</v>
      </c>
      <c r="F8" s="24">
        <f t="shared" ca="1" si="0"/>
        <v>385000</v>
      </c>
      <c r="G8" s="13" t="str">
        <f t="shared" si="1"/>
        <v>ZB666</v>
      </c>
    </row>
    <row r="9" spans="1:7">
      <c r="A9" s="4" t="s">
        <v>15</v>
      </c>
      <c r="B9" s="13" t="s">
        <v>69</v>
      </c>
      <c r="C9" s="4" t="s">
        <v>70</v>
      </c>
      <c r="D9" s="4">
        <v>3</v>
      </c>
      <c r="E9" s="4"/>
      <c r="F9" s="24">
        <f t="shared" ca="1" si="0"/>
        <v>33000</v>
      </c>
      <c r="G9" s="13" t="str">
        <f t="shared" si="1"/>
        <v>ZB383</v>
      </c>
    </row>
    <row r="10" spans="1:7">
      <c r="A10" s="4" t="s">
        <v>16</v>
      </c>
      <c r="B10" s="13" t="s">
        <v>71</v>
      </c>
      <c r="C10" s="4" t="s">
        <v>60</v>
      </c>
      <c r="D10" s="4">
        <v>9</v>
      </c>
      <c r="E10" s="4">
        <v>3</v>
      </c>
      <c r="F10" s="24">
        <f t="shared" ca="1" si="0"/>
        <v>195000</v>
      </c>
      <c r="G10" s="13" t="str">
        <f t="shared" si="1"/>
        <v>KC766</v>
      </c>
    </row>
    <row r="11" spans="1:7">
      <c r="A11" s="6" t="s">
        <v>72</v>
      </c>
      <c r="B11" s="1"/>
      <c r="C11" s="1"/>
      <c r="E11" s="6" t="s">
        <v>21</v>
      </c>
    </row>
    <row r="12" spans="1:7">
      <c r="A12" s="2" t="s">
        <v>55</v>
      </c>
      <c r="B12" s="2" t="s">
        <v>56</v>
      </c>
      <c r="C12" s="2" t="s">
        <v>57</v>
      </c>
      <c r="E12" s="13" t="s">
        <v>73</v>
      </c>
      <c r="F12" s="16" t="s">
        <v>107</v>
      </c>
    </row>
    <row r="13" spans="1:7">
      <c r="A13" s="4" t="s">
        <v>66</v>
      </c>
      <c r="B13" s="26">
        <v>20000</v>
      </c>
      <c r="C13" s="26">
        <v>25000</v>
      </c>
      <c r="E13" s="13" t="s">
        <v>74</v>
      </c>
      <c r="F13" s="13" t="str">
        <f>COUNTIFS($D$3:$D$10,"&gt;=5",$B$3:$B$10,"?"&amp;E13&amp;"*")&amp;"건"</f>
        <v>2건</v>
      </c>
    </row>
    <row r="14" spans="1:7">
      <c r="A14" s="4" t="s">
        <v>68</v>
      </c>
      <c r="B14" s="26">
        <v>18000</v>
      </c>
      <c r="C14" s="26">
        <v>23000</v>
      </c>
      <c r="E14" s="13" t="s">
        <v>75</v>
      </c>
      <c r="F14" s="13" t="str">
        <f t="shared" ref="F14:F16" si="2">COUNTIFS($D$3:$D$10,"&gt;=5",$B$3:$B$10,"?"&amp;E14&amp;"*")&amp;"건"</f>
        <v>1건</v>
      </c>
    </row>
    <row r="15" spans="1:7">
      <c r="A15" s="4" t="s">
        <v>60</v>
      </c>
      <c r="B15" s="26">
        <v>15000</v>
      </c>
      <c r="C15" s="26">
        <v>20000</v>
      </c>
      <c r="E15" s="13" t="s">
        <v>76</v>
      </c>
      <c r="F15" s="13" t="str">
        <f t="shared" si="2"/>
        <v>1건</v>
      </c>
    </row>
    <row r="16" spans="1:7">
      <c r="A16" s="4" t="s">
        <v>62</v>
      </c>
      <c r="B16" s="26">
        <v>13000</v>
      </c>
      <c r="C16" s="26">
        <v>18000</v>
      </c>
      <c r="E16" s="13" t="s">
        <v>77</v>
      </c>
      <c r="F16" s="13" t="str">
        <f t="shared" si="2"/>
        <v>1건</v>
      </c>
    </row>
    <row r="17" spans="1:6">
      <c r="A17" s="13" t="s">
        <v>70</v>
      </c>
      <c r="B17" s="26">
        <v>11000</v>
      </c>
      <c r="C17" s="26">
        <v>15000</v>
      </c>
      <c r="F17" s="1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C6CC7-BC87-4932-ADF4-ECEEC0C21EF8}">
  <sheetPr codeName="Sheet7"/>
  <dimension ref="A1:E10"/>
  <sheetViews>
    <sheetView workbookViewId="0"/>
  </sheetViews>
  <sheetFormatPr defaultRowHeight="16.5"/>
  <cols>
    <col min="1" max="1" width="9" customWidth="1"/>
    <col min="2" max="2" width="11.125" bestFit="1" customWidth="1"/>
    <col min="3" max="3" width="9" bestFit="1" customWidth="1"/>
    <col min="4" max="4" width="11.125" bestFit="1" customWidth="1"/>
    <col min="5" max="5" width="11.375" customWidth="1"/>
  </cols>
  <sheetData>
    <row r="1" spans="1:5">
      <c r="A1" s="8" t="s">
        <v>87</v>
      </c>
      <c r="B1" s="8" t="s">
        <v>88</v>
      </c>
      <c r="C1" s="8" t="s">
        <v>89</v>
      </c>
      <c r="D1" s="15" t="s">
        <v>90</v>
      </c>
      <c r="E1" s="16" t="s">
        <v>91</v>
      </c>
    </row>
    <row r="2" spans="1:5">
      <c r="A2" s="21" t="s">
        <v>78</v>
      </c>
      <c r="B2" s="21">
        <v>44257</v>
      </c>
      <c r="C2" s="5">
        <v>174</v>
      </c>
      <c r="D2" s="13" t="str">
        <f t="shared" ref="D2:D10" si="0">TEXT(WORKDAY(B2,QUOTIENT(C2,24)),"YYYY-MM-DD")</f>
        <v>2021-03-11</v>
      </c>
      <c r="E2" s="13" t="str">
        <f>TEXT(QUOTIENT(_xlfn.DAYS("2021-05-01",B2),30),"약 00개월")</f>
        <v>약 02개월</v>
      </c>
    </row>
    <row r="3" spans="1:5">
      <c r="A3" s="21" t="s">
        <v>79</v>
      </c>
      <c r="B3" s="21">
        <v>44247</v>
      </c>
      <c r="C3" s="5">
        <v>6</v>
      </c>
      <c r="D3" s="13" t="str">
        <f t="shared" si="0"/>
        <v>2021-02-20</v>
      </c>
      <c r="E3" s="13" t="str">
        <f t="shared" ref="E3:E10" si="1">TEXT(QUOTIENT(_xlfn.DAYS("2021-05-01",B3),30),"약 00개월")</f>
        <v>약 02개월</v>
      </c>
    </row>
    <row r="4" spans="1:5">
      <c r="A4" s="21" t="s">
        <v>80</v>
      </c>
      <c r="B4" s="21">
        <v>44232</v>
      </c>
      <c r="C4" s="5">
        <v>93</v>
      </c>
      <c r="D4" s="13" t="str">
        <f t="shared" si="0"/>
        <v>2021-02-10</v>
      </c>
      <c r="E4" s="13" t="str">
        <f t="shared" si="1"/>
        <v>약 02개월</v>
      </c>
    </row>
    <row r="5" spans="1:5">
      <c r="A5" s="21" t="s">
        <v>81</v>
      </c>
      <c r="B5" s="21">
        <v>44207</v>
      </c>
      <c r="C5" s="5">
        <v>213</v>
      </c>
      <c r="D5" s="13" t="str">
        <f t="shared" si="0"/>
        <v>2021-01-21</v>
      </c>
      <c r="E5" s="13" t="str">
        <f t="shared" si="1"/>
        <v>약 03개월</v>
      </c>
    </row>
    <row r="6" spans="1:5">
      <c r="A6" s="21" t="s">
        <v>82</v>
      </c>
      <c r="B6" s="21">
        <v>44239</v>
      </c>
      <c r="C6" s="5">
        <v>107</v>
      </c>
      <c r="D6" s="13" t="str">
        <f t="shared" si="0"/>
        <v>2021-02-18</v>
      </c>
      <c r="E6" s="13" t="str">
        <f t="shared" si="1"/>
        <v>약 02개월</v>
      </c>
    </row>
    <row r="7" spans="1:5">
      <c r="A7" s="21" t="s">
        <v>83</v>
      </c>
      <c r="B7" s="21">
        <v>44258</v>
      </c>
      <c r="C7" s="5">
        <v>12</v>
      </c>
      <c r="D7" s="13" t="str">
        <f t="shared" si="0"/>
        <v>2021-03-03</v>
      </c>
      <c r="E7" s="13" t="str">
        <f t="shared" si="1"/>
        <v>약 01개월</v>
      </c>
    </row>
    <row r="8" spans="1:5">
      <c r="A8" s="21" t="s">
        <v>84</v>
      </c>
      <c r="B8" s="21">
        <v>44212</v>
      </c>
      <c r="C8" s="5">
        <v>57</v>
      </c>
      <c r="D8" s="13" t="str">
        <f t="shared" si="0"/>
        <v>2021-01-19</v>
      </c>
      <c r="E8" s="13" t="str">
        <f t="shared" si="1"/>
        <v>약 03개월</v>
      </c>
    </row>
    <row r="9" spans="1:5">
      <c r="A9" s="21" t="s">
        <v>85</v>
      </c>
      <c r="B9" s="21">
        <v>44287</v>
      </c>
      <c r="C9" s="5">
        <v>153</v>
      </c>
      <c r="D9" s="13" t="str">
        <f t="shared" si="0"/>
        <v>2021-04-09</v>
      </c>
      <c r="E9" s="13" t="str">
        <f t="shared" si="1"/>
        <v>약 01개월</v>
      </c>
    </row>
    <row r="10" spans="1:5">
      <c r="A10" s="21" t="s">
        <v>86</v>
      </c>
      <c r="B10" s="21">
        <v>44211</v>
      </c>
      <c r="C10" s="5">
        <v>95</v>
      </c>
      <c r="D10" s="13" t="str">
        <f t="shared" si="0"/>
        <v>2021-01-20</v>
      </c>
      <c r="E10" s="13" t="str">
        <f t="shared" si="1"/>
        <v>약 03개월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합격포인트_01_유형1~2</vt:lpstr>
      <vt:lpstr>02~06</vt:lpstr>
      <vt:lpstr>07~08</vt:lpstr>
      <vt:lpstr>08_체크체크_①~⑥</vt:lpstr>
      <vt:lpstr>08_체크체크_⑦~⑨</vt:lpstr>
      <vt:lpstr>대표기출문제_기출1~3</vt:lpstr>
      <vt:lpstr>기출4~5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2023-07-14T05:07:32Z</dcterms:created>
  <dcterms:modified xsi:type="dcterms:W3CDTF">2023-11-20T08:12:21Z</dcterms:modified>
</cp:coreProperties>
</file>