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4F68C205-ACDA-426D-8F72-A2E58CBAB91C}" xr6:coauthVersionLast="47" xr6:coauthVersionMax="47" xr10:uidLastSave="{00000000-0000-0000-0000-000000000000}"/>
  <bookViews>
    <workbookView xWindow="28680" yWindow="-120" windowWidth="29040" windowHeight="17640" xr2:uid="{DC106CD9-D90C-48D9-BDC0-301FBC7A17D1}"/>
  </bookViews>
  <sheets>
    <sheet name="합격포인트_01" sheetId="1" r:id="rId1"/>
    <sheet name="02" sheetId="2" r:id="rId2"/>
    <sheet name="대표기출문제_기출1" sheetId="3" r:id="rId3"/>
    <sheet name="기출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" i="4" l="1"/>
  <c r="G16" i="4"/>
  <c r="G9" i="4"/>
  <c r="G27" i="4" s="1"/>
  <c r="G26" i="4"/>
  <c r="G17" i="4"/>
  <c r="G10" i="4"/>
  <c r="E29" i="3"/>
  <c r="E24" i="3"/>
  <c r="E19" i="3"/>
  <c r="E14" i="3"/>
  <c r="E9" i="3"/>
  <c r="E5" i="3"/>
  <c r="E31" i="3" s="1"/>
  <c r="D32" i="3"/>
  <c r="D30" i="3"/>
  <c r="D20" i="3"/>
  <c r="D10" i="3"/>
  <c r="B25" i="2"/>
  <c r="B22" i="2"/>
  <c r="B17" i="2"/>
  <c r="B13" i="2"/>
  <c r="B9" i="2"/>
  <c r="B6" i="2"/>
  <c r="B27" i="2" s="1"/>
  <c r="F28" i="2"/>
  <c r="F26" i="2"/>
  <c r="F18" i="2"/>
  <c r="F10" i="2"/>
  <c r="G28" i="4" l="1"/>
</calcChain>
</file>

<file path=xl/sharedStrings.xml><?xml version="1.0" encoding="utf-8"?>
<sst xmlns="http://schemas.openxmlformats.org/spreadsheetml/2006/main" count="289" uniqueCount="125">
  <si>
    <t>반</t>
  </si>
  <si>
    <t>성명</t>
  </si>
  <si>
    <t>성별</t>
  </si>
  <si>
    <t>생년월일</t>
  </si>
  <si>
    <t>연락처</t>
  </si>
  <si>
    <t>온유반</t>
  </si>
  <si>
    <t>권지인</t>
  </si>
  <si>
    <t>여</t>
  </si>
  <si>
    <t>010-84**-****</t>
  </si>
  <si>
    <t>믿음반</t>
  </si>
  <si>
    <t>김서영</t>
  </si>
  <si>
    <t>010-88**-****</t>
  </si>
  <si>
    <t>김시연</t>
  </si>
  <si>
    <t>010-36**-****</t>
  </si>
  <si>
    <t>김종헌</t>
  </si>
  <si>
    <t>남</t>
  </si>
  <si>
    <t>010-73**-****</t>
  </si>
  <si>
    <t>김주한</t>
  </si>
  <si>
    <t>010-93**-****</t>
  </si>
  <si>
    <t>김주형</t>
  </si>
  <si>
    <t>010-42**-****</t>
  </si>
  <si>
    <t>박준영</t>
  </si>
  <si>
    <t>010-71**-****</t>
  </si>
  <si>
    <t>소망반</t>
  </si>
  <si>
    <t>박진우</t>
  </si>
  <si>
    <t>송예린</t>
  </si>
  <si>
    <t>오정은</t>
  </si>
  <si>
    <t>010-40**-****</t>
  </si>
  <si>
    <t>유연서</t>
  </si>
  <si>
    <t>010-52**-****</t>
  </si>
  <si>
    <t>윤서연</t>
  </si>
  <si>
    <t>임형빈</t>
  </si>
  <si>
    <t>010-99**-****</t>
  </si>
  <si>
    <t>차숙원</t>
  </si>
  <si>
    <t>010-62**-****</t>
  </si>
  <si>
    <t>[표1]</t>
  </si>
  <si>
    <t>출석일수</t>
  </si>
  <si>
    <t>010-90**-****</t>
  </si>
  <si>
    <t>단과대학</t>
  </si>
  <si>
    <t>학과</t>
  </si>
  <si>
    <t>졸업자</t>
  </si>
  <si>
    <t>취업률</t>
  </si>
  <si>
    <t>인문대학</t>
  </si>
  <si>
    <t>철학과</t>
  </si>
  <si>
    <t>사범대학</t>
  </si>
  <si>
    <t>수학교육과</t>
  </si>
  <si>
    <t>교육학과</t>
  </si>
  <si>
    <t>문헌정보학과</t>
  </si>
  <si>
    <t>중어중문학과</t>
  </si>
  <si>
    <t>역사학과</t>
  </si>
  <si>
    <t>국어교육과</t>
  </si>
  <si>
    <t>사회과학대학</t>
  </si>
  <si>
    <t>심리학과</t>
  </si>
  <si>
    <t>행정학과</t>
  </si>
  <si>
    <t>사회학과</t>
  </si>
  <si>
    <t>영어영문학과</t>
  </si>
  <si>
    <t>정치외교학과</t>
  </si>
  <si>
    <t>영어 교육과</t>
  </si>
  <si>
    <t>국어국문학과</t>
  </si>
  <si>
    <t>사회복지학과</t>
  </si>
  <si>
    <t>연구원ID</t>
  </si>
  <si>
    <t>이름</t>
  </si>
  <si>
    <t>연구분야</t>
  </si>
  <si>
    <t>내부평가</t>
  </si>
  <si>
    <t>외부평가</t>
  </si>
  <si>
    <t>연구점수</t>
  </si>
  <si>
    <t>총점</t>
  </si>
  <si>
    <t>ANS-03</t>
  </si>
  <si>
    <t>배윤채</t>
  </si>
  <si>
    <t>광자통신</t>
  </si>
  <si>
    <t>ANS-10</t>
  </si>
  <si>
    <t>서송민</t>
  </si>
  <si>
    <t>ANS-11</t>
  </si>
  <si>
    <t>주여원</t>
  </si>
  <si>
    <t>재생에너지</t>
  </si>
  <si>
    <t>ANS-16</t>
  </si>
  <si>
    <t>강승후</t>
  </si>
  <si>
    <t>ANS-62</t>
  </si>
  <si>
    <t>문태윤</t>
  </si>
  <si>
    <t>ANS-74</t>
  </si>
  <si>
    <t>문채이</t>
  </si>
  <si>
    <t>ANS-91</t>
  </si>
  <si>
    <t>손상우</t>
  </si>
  <si>
    <t>ANS-95</t>
  </si>
  <si>
    <t>안해슬</t>
  </si>
  <si>
    <t>ANS-99</t>
  </si>
  <si>
    <t>홍여혜</t>
  </si>
  <si>
    <t>인공지능</t>
  </si>
  <si>
    <t>CIE-09</t>
  </si>
  <si>
    <t>문초연</t>
  </si>
  <si>
    <t>CIE-14</t>
  </si>
  <si>
    <t>조정민</t>
  </si>
  <si>
    <t>CIE-29</t>
  </si>
  <si>
    <t>서성은</t>
  </si>
  <si>
    <t>CIE-38</t>
  </si>
  <si>
    <t>송동우</t>
  </si>
  <si>
    <t>CIE-56</t>
  </si>
  <si>
    <t>유윤섬</t>
  </si>
  <si>
    <t>CIE-61</t>
  </si>
  <si>
    <t>장종연</t>
  </si>
  <si>
    <t>CIE-78</t>
  </si>
  <si>
    <t>전성찬</t>
  </si>
  <si>
    <t>CIE-83</t>
  </si>
  <si>
    <t>임송빈</t>
  </si>
  <si>
    <t>CIE-93</t>
  </si>
  <si>
    <t>임혜은</t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</si>
  <si>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</si>
  <si>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</si>
  <si>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</si>
  <si>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</si>
  <si>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</si>
  <si>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</si>
  <si>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</si>
  <si>
    <t>사범대학 평균</t>
  </si>
  <si>
    <t>사회과학대학 평균</t>
  </si>
  <si>
    <t>인문대학 평균</t>
  </si>
  <si>
    <t>남 최대</t>
  </si>
  <si>
    <t>여 최대</t>
  </si>
  <si>
    <t>전체 최대값</t>
  </si>
  <si>
    <t>광자통신 개수</t>
  </si>
  <si>
    <t>인공지능 개수</t>
  </si>
  <si>
    <t>재생에너지 개수</t>
  </si>
  <si>
    <t>광자통신 평균</t>
  </si>
  <si>
    <t>인공지능 평균</t>
  </si>
  <si>
    <t>재생에너지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</si>
</sst>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4" fontId="3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Border="1">
      <alignment vertical="center"/>
    </xf>
    <xf numFmtId="9" fontId="0" fillId="0" borderId="0" xfId="1" applyFont="1" applyBorder="1">
      <alignment vertical="center"/>
    </xf>
    <xf numFmtId="0" fontId="4" fillId="0" borderId="0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>
      <alignment vertical="center"/>
    </xf>
    <xf numFmtId="0" fontId="4" fillId="0" borderId="0" xfId="0" applyFont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B31C1-D6B9-47FB-A876-64D67A4541EB}">
  <dimension ref="A1:F17"/>
  <sheetViews>
    <sheetView tabSelected="1" workbookViewId="0"/>
  </sheetViews>
  <sheetFormatPr defaultRowHeight="16.5" x14ac:dyDescent="0.3"/>
  <cols>
    <col min="1" max="2" width="7.125" bestFit="1" customWidth="1"/>
    <col min="3" max="3" width="5.25" bestFit="1" customWidth="1"/>
    <col min="4" max="4" width="11.125" bestFit="1" customWidth="1"/>
    <col min="5" max="5" width="12.75" bestFit="1" customWidth="1"/>
    <col min="6" max="6" width="9" bestFit="1" customWidth="1"/>
  </cols>
  <sheetData>
    <row r="1" spans="1:6" x14ac:dyDescent="0.3">
      <c r="A1" t="s">
        <v>35</v>
      </c>
    </row>
    <row r="2" spans="1:6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36</v>
      </c>
    </row>
    <row r="3" spans="1:6" x14ac:dyDescent="0.3">
      <c r="A3" s="1" t="s">
        <v>9</v>
      </c>
      <c r="B3" s="1" t="s">
        <v>14</v>
      </c>
      <c r="C3" s="1" t="s">
        <v>15</v>
      </c>
      <c r="D3" s="2">
        <v>39223</v>
      </c>
      <c r="E3" s="1" t="s">
        <v>16</v>
      </c>
      <c r="F3" s="1">
        <v>13</v>
      </c>
    </row>
    <row r="4" spans="1:6" x14ac:dyDescent="0.3">
      <c r="A4" s="1" t="s">
        <v>9</v>
      </c>
      <c r="B4" s="1" t="s">
        <v>14</v>
      </c>
      <c r="C4" s="1" t="s">
        <v>15</v>
      </c>
      <c r="D4" s="2">
        <v>39304</v>
      </c>
      <c r="E4" s="1" t="s">
        <v>16</v>
      </c>
      <c r="F4" s="1">
        <v>12</v>
      </c>
    </row>
    <row r="5" spans="1:6" x14ac:dyDescent="0.3">
      <c r="A5" s="1" t="s">
        <v>9</v>
      </c>
      <c r="B5" s="1" t="s">
        <v>19</v>
      </c>
      <c r="C5" s="1" t="s">
        <v>15</v>
      </c>
      <c r="D5" s="2">
        <v>39262</v>
      </c>
      <c r="E5" s="1" t="s">
        <v>20</v>
      </c>
      <c r="F5" s="1">
        <v>15</v>
      </c>
    </row>
    <row r="6" spans="1:6" x14ac:dyDescent="0.3">
      <c r="A6" s="1" t="s">
        <v>9</v>
      </c>
      <c r="B6" s="1" t="s">
        <v>10</v>
      </c>
      <c r="C6" s="1" t="s">
        <v>7</v>
      </c>
      <c r="D6" s="2">
        <v>39121</v>
      </c>
      <c r="E6" s="1" t="s">
        <v>11</v>
      </c>
      <c r="F6" s="1">
        <v>15</v>
      </c>
    </row>
    <row r="7" spans="1:6" x14ac:dyDescent="0.3">
      <c r="A7" s="1" t="s">
        <v>9</v>
      </c>
      <c r="B7" s="1" t="s">
        <v>25</v>
      </c>
      <c r="C7" s="1" t="s">
        <v>7</v>
      </c>
      <c r="D7" s="2">
        <v>39143</v>
      </c>
      <c r="E7" s="1" t="s">
        <v>37</v>
      </c>
      <c r="F7" s="1">
        <v>15</v>
      </c>
    </row>
    <row r="8" spans="1:6" x14ac:dyDescent="0.3">
      <c r="A8" s="1" t="s">
        <v>23</v>
      </c>
      <c r="B8" s="1" t="s">
        <v>24</v>
      </c>
      <c r="C8" s="1" t="s">
        <v>15</v>
      </c>
      <c r="D8" s="2">
        <v>39116</v>
      </c>
      <c r="E8" s="1" t="s">
        <v>22</v>
      </c>
      <c r="F8" s="1">
        <v>10</v>
      </c>
    </row>
    <row r="9" spans="1:6" x14ac:dyDescent="0.3">
      <c r="A9" s="1" t="s">
        <v>23</v>
      </c>
      <c r="B9" s="1" t="s">
        <v>31</v>
      </c>
      <c r="C9" s="1" t="s">
        <v>15</v>
      </c>
      <c r="D9" s="2">
        <v>39085</v>
      </c>
      <c r="E9" s="1" t="s">
        <v>32</v>
      </c>
      <c r="F9" s="1">
        <v>12</v>
      </c>
    </row>
    <row r="10" spans="1:6" x14ac:dyDescent="0.3">
      <c r="A10" s="1" t="s">
        <v>23</v>
      </c>
      <c r="B10" s="1" t="s">
        <v>26</v>
      </c>
      <c r="C10" s="1" t="s">
        <v>7</v>
      </c>
      <c r="D10" s="2">
        <v>39189</v>
      </c>
      <c r="E10" s="1" t="s">
        <v>27</v>
      </c>
      <c r="F10" s="1">
        <v>15</v>
      </c>
    </row>
    <row r="11" spans="1:6" x14ac:dyDescent="0.3">
      <c r="A11" s="1" t="s">
        <v>23</v>
      </c>
      <c r="B11" s="1" t="s">
        <v>28</v>
      </c>
      <c r="C11" s="1" t="s">
        <v>7</v>
      </c>
      <c r="D11" s="2">
        <v>39426</v>
      </c>
      <c r="E11" s="1" t="s">
        <v>29</v>
      </c>
      <c r="F11" s="1">
        <v>13</v>
      </c>
    </row>
    <row r="12" spans="1:6" x14ac:dyDescent="0.3">
      <c r="A12" s="1" t="s">
        <v>23</v>
      </c>
      <c r="B12" s="1" t="s">
        <v>30</v>
      </c>
      <c r="C12" s="1" t="s">
        <v>7</v>
      </c>
      <c r="D12" s="2">
        <v>39121</v>
      </c>
      <c r="E12" s="1" t="s">
        <v>16</v>
      </c>
      <c r="F12" s="1">
        <v>15</v>
      </c>
    </row>
    <row r="13" spans="1:6" x14ac:dyDescent="0.3">
      <c r="A13" s="1" t="s">
        <v>5</v>
      </c>
      <c r="B13" s="1" t="s">
        <v>17</v>
      </c>
      <c r="C13" s="1" t="s">
        <v>15</v>
      </c>
      <c r="D13" s="2">
        <v>39440</v>
      </c>
      <c r="E13" s="1" t="s">
        <v>18</v>
      </c>
      <c r="F13" s="1">
        <v>9</v>
      </c>
    </row>
    <row r="14" spans="1:6" x14ac:dyDescent="0.3">
      <c r="A14" s="1" t="s">
        <v>5</v>
      </c>
      <c r="B14" s="1" t="s">
        <v>21</v>
      </c>
      <c r="C14" s="1" t="s">
        <v>15</v>
      </c>
      <c r="D14" s="2">
        <v>39365</v>
      </c>
      <c r="E14" s="1" t="s">
        <v>22</v>
      </c>
      <c r="F14" s="1">
        <v>15</v>
      </c>
    </row>
    <row r="15" spans="1:6" x14ac:dyDescent="0.3">
      <c r="A15" s="1" t="s">
        <v>5</v>
      </c>
      <c r="B15" s="1" t="s">
        <v>33</v>
      </c>
      <c r="C15" s="1" t="s">
        <v>15</v>
      </c>
      <c r="D15" s="2">
        <v>39321</v>
      </c>
      <c r="E15" s="1" t="s">
        <v>34</v>
      </c>
      <c r="F15" s="1">
        <v>14</v>
      </c>
    </row>
    <row r="16" spans="1:6" x14ac:dyDescent="0.3">
      <c r="A16" s="1" t="s">
        <v>5</v>
      </c>
      <c r="B16" s="1" t="s">
        <v>6</v>
      </c>
      <c r="C16" s="1" t="s">
        <v>7</v>
      </c>
      <c r="D16" s="2">
        <v>39084</v>
      </c>
      <c r="E16" s="1" t="s">
        <v>8</v>
      </c>
      <c r="F16" s="1">
        <v>14</v>
      </c>
    </row>
    <row r="17" spans="1:6" x14ac:dyDescent="0.3">
      <c r="A17" s="1" t="s">
        <v>5</v>
      </c>
      <c r="B17" s="1" t="s">
        <v>12</v>
      </c>
      <c r="C17" s="1" t="s">
        <v>7</v>
      </c>
      <c r="D17" s="2">
        <v>39331</v>
      </c>
      <c r="E17" s="1" t="s">
        <v>13</v>
      </c>
      <c r="F17" s="1">
        <v>12</v>
      </c>
    </row>
  </sheetData>
  <sortState xmlns:xlrd2="http://schemas.microsoft.com/office/spreadsheetml/2017/richdata2" ref="A3:F17">
    <sortCondition ref="A3:A17"/>
    <sortCondition ref="C3:C17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A0C4A-B748-4E23-AF9D-4B07728C8BDC}">
  <dimension ref="A1:F28"/>
  <sheetViews>
    <sheetView workbookViewId="0"/>
  </sheetViews>
  <sheetFormatPr defaultRowHeight="16.5" outlineLevelRow="3" x14ac:dyDescent="0.3"/>
  <cols>
    <col min="1" max="1" width="11.875" bestFit="1" customWidth="1"/>
    <col min="2" max="2" width="7.125" bestFit="1" customWidth="1"/>
    <col min="3" max="3" width="9.875" bestFit="1" customWidth="1"/>
    <col min="4" max="4" width="11.125" bestFit="1" customWidth="1"/>
    <col min="5" max="5" width="12.75" bestFit="1" customWidth="1"/>
    <col min="6" max="6" width="9" bestFit="1" customWidth="1"/>
  </cols>
  <sheetData>
    <row r="1" spans="1:6" x14ac:dyDescent="0.3">
      <c r="A1" t="s">
        <v>35</v>
      </c>
    </row>
    <row r="2" spans="1:6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36</v>
      </c>
    </row>
    <row r="3" spans="1:6" outlineLevel="3" x14ac:dyDescent="0.3">
      <c r="A3" s="1" t="s">
        <v>9</v>
      </c>
      <c r="B3" s="1" t="s">
        <v>14</v>
      </c>
      <c r="C3" s="1" t="s">
        <v>15</v>
      </c>
      <c r="D3" s="2">
        <v>39223</v>
      </c>
      <c r="E3" s="1" t="s">
        <v>16</v>
      </c>
      <c r="F3" s="1">
        <v>13</v>
      </c>
    </row>
    <row r="4" spans="1:6" outlineLevel="3" x14ac:dyDescent="0.3">
      <c r="A4" s="1" t="s">
        <v>9</v>
      </c>
      <c r="B4" s="1" t="s">
        <v>14</v>
      </c>
      <c r="C4" s="1" t="s">
        <v>15</v>
      </c>
      <c r="D4" s="2">
        <v>39304</v>
      </c>
      <c r="E4" s="1" t="s">
        <v>16</v>
      </c>
      <c r="F4" s="1">
        <v>12</v>
      </c>
    </row>
    <row r="5" spans="1:6" outlineLevel="3" x14ac:dyDescent="0.3">
      <c r="A5" s="1" t="s">
        <v>9</v>
      </c>
      <c r="B5" s="1" t="s">
        <v>19</v>
      </c>
      <c r="C5" s="1" t="s">
        <v>15</v>
      </c>
      <c r="D5" s="2">
        <v>39262</v>
      </c>
      <c r="E5" s="1" t="s">
        <v>20</v>
      </c>
      <c r="F5" s="1">
        <v>15</v>
      </c>
    </row>
    <row r="6" spans="1:6" outlineLevel="2" x14ac:dyDescent="0.3">
      <c r="A6" s="1"/>
      <c r="B6" s="1">
        <f>SUBTOTAL(3,B3:B5)</f>
        <v>3</v>
      </c>
      <c r="C6" s="9" t="s">
        <v>110</v>
      </c>
      <c r="D6" s="2"/>
      <c r="E6" s="1"/>
      <c r="F6" s="1"/>
    </row>
    <row r="7" spans="1:6" outlineLevel="3" x14ac:dyDescent="0.3">
      <c r="A7" s="1" t="s">
        <v>9</v>
      </c>
      <c r="B7" s="1" t="s">
        <v>10</v>
      </c>
      <c r="C7" s="1" t="s">
        <v>7</v>
      </c>
      <c r="D7" s="2">
        <v>39121</v>
      </c>
      <c r="E7" s="1" t="s">
        <v>11</v>
      </c>
      <c r="F7" s="1">
        <v>15</v>
      </c>
    </row>
    <row r="8" spans="1:6" outlineLevel="3" x14ac:dyDescent="0.3">
      <c r="A8" s="1" t="s">
        <v>9</v>
      </c>
      <c r="B8" s="1" t="s">
        <v>25</v>
      </c>
      <c r="C8" s="1" t="s">
        <v>7</v>
      </c>
      <c r="D8" s="2">
        <v>39143</v>
      </c>
      <c r="E8" s="1" t="s">
        <v>37</v>
      </c>
      <c r="F8" s="1">
        <v>15</v>
      </c>
    </row>
    <row r="9" spans="1:6" outlineLevel="2" x14ac:dyDescent="0.3">
      <c r="A9" s="1"/>
      <c r="B9" s="1">
        <f>SUBTOTAL(3,B7:B8)</f>
        <v>2</v>
      </c>
      <c r="C9" s="9" t="s">
        <v>111</v>
      </c>
      <c r="D9" s="2"/>
      <c r="E9" s="1"/>
      <c r="F9" s="1"/>
    </row>
    <row r="10" spans="1:6" outlineLevel="1" x14ac:dyDescent="0.3">
      <c r="A10" s="8" t="s">
        <v>106</v>
      </c>
      <c r="B10" s="1"/>
      <c r="C10" s="1"/>
      <c r="D10" s="2"/>
      <c r="E10" s="1"/>
      <c r="F10" s="1">
        <f>SUBTOTAL(1,F3:F8)</f>
        <v>14</v>
      </c>
    </row>
    <row r="11" spans="1:6" outlineLevel="3" x14ac:dyDescent="0.3">
      <c r="A11" s="1" t="s">
        <v>23</v>
      </c>
      <c r="B11" s="1" t="s">
        <v>24</v>
      </c>
      <c r="C11" s="1" t="s">
        <v>15</v>
      </c>
      <c r="D11" s="2">
        <v>39116</v>
      </c>
      <c r="E11" s="1" t="s">
        <v>22</v>
      </c>
      <c r="F11" s="1">
        <v>10</v>
      </c>
    </row>
    <row r="12" spans="1:6" outlineLevel="3" x14ac:dyDescent="0.3">
      <c r="A12" s="1" t="s">
        <v>23</v>
      </c>
      <c r="B12" s="1" t="s">
        <v>31</v>
      </c>
      <c r="C12" s="1" t="s">
        <v>15</v>
      </c>
      <c r="D12" s="2">
        <v>39085</v>
      </c>
      <c r="E12" s="1" t="s">
        <v>32</v>
      </c>
      <c r="F12" s="1">
        <v>12</v>
      </c>
    </row>
    <row r="13" spans="1:6" outlineLevel="2" x14ac:dyDescent="0.3">
      <c r="A13" s="1"/>
      <c r="B13" s="1">
        <f>SUBTOTAL(3,B11:B12)</f>
        <v>2</v>
      </c>
      <c r="C13" s="9" t="s">
        <v>110</v>
      </c>
      <c r="D13" s="2"/>
      <c r="E13" s="1"/>
      <c r="F13" s="1"/>
    </row>
    <row r="14" spans="1:6" outlineLevel="3" x14ac:dyDescent="0.3">
      <c r="A14" s="1" t="s">
        <v>23</v>
      </c>
      <c r="B14" s="1" t="s">
        <v>26</v>
      </c>
      <c r="C14" s="1" t="s">
        <v>7</v>
      </c>
      <c r="D14" s="2">
        <v>39189</v>
      </c>
      <c r="E14" s="1" t="s">
        <v>27</v>
      </c>
      <c r="F14" s="1">
        <v>15</v>
      </c>
    </row>
    <row r="15" spans="1:6" outlineLevel="3" x14ac:dyDescent="0.3">
      <c r="A15" s="1" t="s">
        <v>23</v>
      </c>
      <c r="B15" s="1" t="s">
        <v>28</v>
      </c>
      <c r="C15" s="1" t="s">
        <v>7</v>
      </c>
      <c r="D15" s="2">
        <v>39426</v>
      </c>
      <c r="E15" s="1" t="s">
        <v>29</v>
      </c>
      <c r="F15" s="1">
        <v>13</v>
      </c>
    </row>
    <row r="16" spans="1:6" outlineLevel="3" x14ac:dyDescent="0.3">
      <c r="A16" s="1" t="s">
        <v>23</v>
      </c>
      <c r="B16" s="1" t="s">
        <v>30</v>
      </c>
      <c r="C16" s="1" t="s">
        <v>7</v>
      </c>
      <c r="D16" s="2">
        <v>39121</v>
      </c>
      <c r="E16" s="1" t="s">
        <v>16</v>
      </c>
      <c r="F16" s="1">
        <v>15</v>
      </c>
    </row>
    <row r="17" spans="1:6" outlineLevel="2" x14ac:dyDescent="0.3">
      <c r="A17" s="1"/>
      <c r="B17" s="1">
        <f>SUBTOTAL(3,B14:B16)</f>
        <v>3</v>
      </c>
      <c r="C17" s="9" t="s">
        <v>111</v>
      </c>
      <c r="D17" s="2"/>
      <c r="E17" s="1"/>
      <c r="F17" s="1"/>
    </row>
    <row r="18" spans="1:6" outlineLevel="1" x14ac:dyDescent="0.3">
      <c r="A18" s="9" t="s">
        <v>107</v>
      </c>
      <c r="B18" s="1"/>
      <c r="C18" s="1"/>
      <c r="D18" s="2"/>
      <c r="E18" s="1"/>
      <c r="F18" s="1">
        <f>SUBTOTAL(1,F11:F16)</f>
        <v>13</v>
      </c>
    </row>
    <row r="19" spans="1:6" outlineLevel="3" x14ac:dyDescent="0.3">
      <c r="A19" s="1" t="s">
        <v>5</v>
      </c>
      <c r="B19" s="1" t="s">
        <v>17</v>
      </c>
      <c r="C19" s="1" t="s">
        <v>15</v>
      </c>
      <c r="D19" s="2">
        <v>39440</v>
      </c>
      <c r="E19" s="1" t="s">
        <v>18</v>
      </c>
      <c r="F19" s="1">
        <v>9</v>
      </c>
    </row>
    <row r="20" spans="1:6" outlineLevel="3" x14ac:dyDescent="0.3">
      <c r="A20" s="1" t="s">
        <v>5</v>
      </c>
      <c r="B20" s="1" t="s">
        <v>21</v>
      </c>
      <c r="C20" s="1" t="s">
        <v>15</v>
      </c>
      <c r="D20" s="2">
        <v>39365</v>
      </c>
      <c r="E20" s="1" t="s">
        <v>22</v>
      </c>
      <c r="F20" s="1">
        <v>15</v>
      </c>
    </row>
    <row r="21" spans="1:6" outlineLevel="3" x14ac:dyDescent="0.3">
      <c r="A21" s="1" t="s">
        <v>5</v>
      </c>
      <c r="B21" s="1" t="s">
        <v>33</v>
      </c>
      <c r="C21" s="1" t="s">
        <v>15</v>
      </c>
      <c r="D21" s="2">
        <v>39321</v>
      </c>
      <c r="E21" s="1" t="s">
        <v>34</v>
      </c>
      <c r="F21" s="1">
        <v>14</v>
      </c>
    </row>
    <row r="22" spans="1:6" outlineLevel="2" x14ac:dyDescent="0.3">
      <c r="A22" s="1"/>
      <c r="B22" s="1">
        <f>SUBTOTAL(3,B19:B21)</f>
        <v>3</v>
      </c>
      <c r="C22" s="9" t="s">
        <v>110</v>
      </c>
      <c r="D22" s="2"/>
      <c r="E22" s="1"/>
      <c r="F22" s="1"/>
    </row>
    <row r="23" spans="1:6" outlineLevel="3" x14ac:dyDescent="0.3">
      <c r="A23" s="1" t="s">
        <v>5</v>
      </c>
      <c r="B23" s="1" t="s">
        <v>6</v>
      </c>
      <c r="C23" s="1" t="s">
        <v>7</v>
      </c>
      <c r="D23" s="2">
        <v>39084</v>
      </c>
      <c r="E23" s="1" t="s">
        <v>8</v>
      </c>
      <c r="F23" s="1">
        <v>14</v>
      </c>
    </row>
    <row r="24" spans="1:6" outlineLevel="3" x14ac:dyDescent="0.3">
      <c r="A24" s="1" t="s">
        <v>5</v>
      </c>
      <c r="B24" s="1" t="s">
        <v>12</v>
      </c>
      <c r="C24" s="1" t="s">
        <v>7</v>
      </c>
      <c r="D24" s="2">
        <v>39331</v>
      </c>
      <c r="E24" s="1" t="s">
        <v>13</v>
      </c>
      <c r="F24" s="1">
        <v>12</v>
      </c>
    </row>
    <row r="25" spans="1:6" outlineLevel="2" x14ac:dyDescent="0.3">
      <c r="A25" s="10"/>
      <c r="B25" s="10">
        <f>SUBTOTAL(3,B23:B24)</f>
        <v>2</v>
      </c>
      <c r="C25" s="12" t="s">
        <v>111</v>
      </c>
      <c r="D25" s="11"/>
      <c r="E25" s="10"/>
      <c r="F25" s="10"/>
    </row>
    <row r="26" spans="1:6" outlineLevel="1" x14ac:dyDescent="0.3">
      <c r="A26" s="12" t="s">
        <v>108</v>
      </c>
      <c r="B26" s="10"/>
      <c r="C26" s="10"/>
      <c r="D26" s="11"/>
      <c r="E26" s="10"/>
      <c r="F26" s="10">
        <f>SUBTOTAL(1,F19:F24)</f>
        <v>12.8</v>
      </c>
    </row>
    <row r="27" spans="1:6" x14ac:dyDescent="0.3">
      <c r="A27" s="12"/>
      <c r="B27" s="10">
        <f>SUBTOTAL(3,B3:B24)</f>
        <v>15</v>
      </c>
      <c r="C27" s="12" t="s">
        <v>112</v>
      </c>
      <c r="D27" s="11"/>
      <c r="E27" s="10"/>
      <c r="F27" s="10"/>
    </row>
    <row r="28" spans="1:6" x14ac:dyDescent="0.3">
      <c r="A28" s="12" t="s">
        <v>109</v>
      </c>
      <c r="B28" s="10"/>
      <c r="C28" s="10"/>
      <c r="D28" s="11"/>
      <c r="E28" s="10"/>
      <c r="F28" s="10">
        <f>SUBTOTAL(1,F3:F24)</f>
        <v>13.266666666666667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60103-5811-4795-AC1D-C89D0B9B14A8}">
  <sheetPr>
    <tabColor theme="7" tint="0.59999389629810485"/>
  </sheetPr>
  <dimension ref="A1:E32"/>
  <sheetViews>
    <sheetView workbookViewId="0"/>
  </sheetViews>
  <sheetFormatPr defaultRowHeight="16.5" outlineLevelRow="3" x14ac:dyDescent="0.3"/>
  <cols>
    <col min="1" max="1" width="18.125" bestFit="1" customWidth="1"/>
    <col min="2" max="2" width="13" bestFit="1" customWidth="1"/>
    <col min="3" max="3" width="11.875" bestFit="1" customWidth="1"/>
    <col min="5" max="5" width="10" customWidth="1"/>
  </cols>
  <sheetData>
    <row r="1" spans="1:5" x14ac:dyDescent="0.3">
      <c r="A1" t="s">
        <v>35</v>
      </c>
    </row>
    <row r="2" spans="1:5" x14ac:dyDescent="0.3">
      <c r="A2" s="3" t="s">
        <v>38</v>
      </c>
      <c r="B2" s="3" t="s">
        <v>39</v>
      </c>
      <c r="C2" s="3" t="s">
        <v>2</v>
      </c>
      <c r="D2" s="3" t="s">
        <v>40</v>
      </c>
      <c r="E2" s="3" t="s">
        <v>41</v>
      </c>
    </row>
    <row r="3" spans="1:5" outlineLevel="3" x14ac:dyDescent="0.3">
      <c r="A3" s="4" t="s">
        <v>44</v>
      </c>
      <c r="B3" s="4" t="s">
        <v>46</v>
      </c>
      <c r="C3" s="4" t="s">
        <v>15</v>
      </c>
      <c r="D3" s="4">
        <v>40</v>
      </c>
      <c r="E3" s="5">
        <v>0.57499999999999996</v>
      </c>
    </row>
    <row r="4" spans="1:5" outlineLevel="3" x14ac:dyDescent="0.3">
      <c r="A4" s="4" t="s">
        <v>44</v>
      </c>
      <c r="B4" s="4" t="s">
        <v>50</v>
      </c>
      <c r="C4" s="4" t="s">
        <v>15</v>
      </c>
      <c r="D4" s="4">
        <v>45</v>
      </c>
      <c r="E4" s="5">
        <v>0.57777777777777795</v>
      </c>
    </row>
    <row r="5" spans="1:5" outlineLevel="2" x14ac:dyDescent="0.3">
      <c r="A5" s="4"/>
      <c r="B5" s="4"/>
      <c r="C5" s="13" t="s">
        <v>116</v>
      </c>
      <c r="D5" s="4"/>
      <c r="E5" s="5">
        <f>SUBTOTAL(4,E3:E4)</f>
        <v>0.57777777777777795</v>
      </c>
    </row>
    <row r="6" spans="1:5" outlineLevel="3" x14ac:dyDescent="0.3">
      <c r="A6" s="4" t="s">
        <v>44</v>
      </c>
      <c r="B6" s="4" t="s">
        <v>45</v>
      </c>
      <c r="C6" s="4" t="s">
        <v>7</v>
      </c>
      <c r="D6" s="4">
        <v>35</v>
      </c>
      <c r="E6" s="5">
        <v>0.6</v>
      </c>
    </row>
    <row r="7" spans="1:5" outlineLevel="3" x14ac:dyDescent="0.3">
      <c r="A7" s="4" t="s">
        <v>44</v>
      </c>
      <c r="B7" s="4" t="s">
        <v>50</v>
      </c>
      <c r="C7" s="4" t="s">
        <v>7</v>
      </c>
      <c r="D7" s="4">
        <v>50</v>
      </c>
      <c r="E7" s="5">
        <v>0.64</v>
      </c>
    </row>
    <row r="8" spans="1:5" outlineLevel="3" x14ac:dyDescent="0.3">
      <c r="A8" s="4" t="s">
        <v>44</v>
      </c>
      <c r="B8" s="4" t="s">
        <v>57</v>
      </c>
      <c r="C8" s="4" t="s">
        <v>7</v>
      </c>
      <c r="D8" s="4">
        <v>60</v>
      </c>
      <c r="E8" s="5">
        <v>0.78333333333333299</v>
      </c>
    </row>
    <row r="9" spans="1:5" outlineLevel="2" x14ac:dyDescent="0.3">
      <c r="A9" s="4"/>
      <c r="B9" s="4"/>
      <c r="C9" s="13" t="s">
        <v>117</v>
      </c>
      <c r="D9" s="4"/>
      <c r="E9" s="5">
        <f>SUBTOTAL(4,E6:E8)</f>
        <v>0.78333333333333299</v>
      </c>
    </row>
    <row r="10" spans="1:5" outlineLevel="1" x14ac:dyDescent="0.3">
      <c r="A10" s="13" t="s">
        <v>113</v>
      </c>
      <c r="B10" s="4"/>
      <c r="C10" s="4"/>
      <c r="D10" s="4">
        <f>SUBTOTAL(1,D3:D8)</f>
        <v>46</v>
      </c>
      <c r="E10" s="5"/>
    </row>
    <row r="11" spans="1:5" outlineLevel="3" x14ac:dyDescent="0.3">
      <c r="A11" s="4" t="s">
        <v>51</v>
      </c>
      <c r="B11" s="4" t="s">
        <v>52</v>
      </c>
      <c r="C11" s="4" t="s">
        <v>15</v>
      </c>
      <c r="D11" s="4">
        <v>45</v>
      </c>
      <c r="E11" s="5">
        <v>0.422222222222222</v>
      </c>
    </row>
    <row r="12" spans="1:5" outlineLevel="3" x14ac:dyDescent="0.3">
      <c r="A12" s="4" t="s">
        <v>51</v>
      </c>
      <c r="B12" s="4" t="s">
        <v>54</v>
      </c>
      <c r="C12" s="4" t="s">
        <v>15</v>
      </c>
      <c r="D12" s="4">
        <v>50</v>
      </c>
      <c r="E12" s="5">
        <v>0.72</v>
      </c>
    </row>
    <row r="13" spans="1:5" outlineLevel="3" x14ac:dyDescent="0.3">
      <c r="A13" s="4" t="s">
        <v>51</v>
      </c>
      <c r="B13" s="4" t="s">
        <v>59</v>
      </c>
      <c r="C13" s="4" t="s">
        <v>15</v>
      </c>
      <c r="D13" s="4">
        <v>70</v>
      </c>
      <c r="E13" s="5">
        <v>0.48571428571428599</v>
      </c>
    </row>
    <row r="14" spans="1:5" outlineLevel="2" x14ac:dyDescent="0.3">
      <c r="A14" s="4"/>
      <c r="B14" s="4"/>
      <c r="C14" s="13" t="s">
        <v>116</v>
      </c>
      <c r="D14" s="4"/>
      <c r="E14" s="5">
        <f>SUBTOTAL(4,E11:E13)</f>
        <v>0.72</v>
      </c>
    </row>
    <row r="15" spans="1:5" outlineLevel="3" x14ac:dyDescent="0.3">
      <c r="A15" s="4" t="s">
        <v>51</v>
      </c>
      <c r="B15" s="4" t="s">
        <v>53</v>
      </c>
      <c r="C15" s="4" t="s">
        <v>7</v>
      </c>
      <c r="D15" s="4">
        <v>49</v>
      </c>
      <c r="E15" s="5">
        <v>0.73469387755102</v>
      </c>
    </row>
    <row r="16" spans="1:5" outlineLevel="3" x14ac:dyDescent="0.3">
      <c r="A16" s="4" t="s">
        <v>51</v>
      </c>
      <c r="B16" s="4" t="s">
        <v>52</v>
      </c>
      <c r="C16" s="4" t="s">
        <v>7</v>
      </c>
      <c r="D16" s="4">
        <v>50</v>
      </c>
      <c r="E16" s="5">
        <v>0.66</v>
      </c>
    </row>
    <row r="17" spans="1:5" outlineLevel="3" x14ac:dyDescent="0.3">
      <c r="A17" s="4" t="s">
        <v>51</v>
      </c>
      <c r="B17" s="4" t="s">
        <v>54</v>
      </c>
      <c r="C17" s="4" t="s">
        <v>7</v>
      </c>
      <c r="D17" s="4">
        <v>51</v>
      </c>
      <c r="E17" s="5">
        <v>0.50980392156862697</v>
      </c>
    </row>
    <row r="18" spans="1:5" outlineLevel="3" x14ac:dyDescent="0.3">
      <c r="A18" s="4" t="s">
        <v>51</v>
      </c>
      <c r="B18" s="4" t="s">
        <v>56</v>
      </c>
      <c r="C18" s="4" t="s">
        <v>7</v>
      </c>
      <c r="D18" s="4">
        <v>52</v>
      </c>
      <c r="E18" s="5">
        <v>0.75</v>
      </c>
    </row>
    <row r="19" spans="1:5" outlineLevel="2" x14ac:dyDescent="0.3">
      <c r="A19" s="4"/>
      <c r="B19" s="4"/>
      <c r="C19" s="13" t="s">
        <v>117</v>
      </c>
      <c r="D19" s="4"/>
      <c r="E19" s="5">
        <f>SUBTOTAL(4,E15:E18)</f>
        <v>0.75</v>
      </c>
    </row>
    <row r="20" spans="1:5" outlineLevel="1" x14ac:dyDescent="0.3">
      <c r="A20" s="13" t="s">
        <v>114</v>
      </c>
      <c r="B20" s="4"/>
      <c r="C20" s="4"/>
      <c r="D20" s="4">
        <f>SUBTOTAL(1,D11:D18)</f>
        <v>52.428571428571431</v>
      </c>
      <c r="E20" s="5"/>
    </row>
    <row r="21" spans="1:5" outlineLevel="3" x14ac:dyDescent="0.3">
      <c r="A21" s="4" t="s">
        <v>42</v>
      </c>
      <c r="B21" s="4" t="s">
        <v>47</v>
      </c>
      <c r="C21" s="4" t="s">
        <v>15</v>
      </c>
      <c r="D21" s="4">
        <v>40</v>
      </c>
      <c r="E21" s="5">
        <v>0.67500000000000004</v>
      </c>
    </row>
    <row r="22" spans="1:5" outlineLevel="3" x14ac:dyDescent="0.3">
      <c r="A22" s="4" t="s">
        <v>42</v>
      </c>
      <c r="B22" s="4" t="s">
        <v>49</v>
      </c>
      <c r="C22" s="4" t="s">
        <v>15</v>
      </c>
      <c r="D22" s="4">
        <v>55</v>
      </c>
      <c r="E22" s="5">
        <v>0.41818181818181799</v>
      </c>
    </row>
    <row r="23" spans="1:5" outlineLevel="3" x14ac:dyDescent="0.3">
      <c r="A23" s="4" t="s">
        <v>42</v>
      </c>
      <c r="B23" s="4" t="s">
        <v>58</v>
      </c>
      <c r="C23" s="4" t="s">
        <v>15</v>
      </c>
      <c r="D23" s="4">
        <v>60</v>
      </c>
      <c r="E23" s="5">
        <v>0.56666666666666698</v>
      </c>
    </row>
    <row r="24" spans="1:5" outlineLevel="2" x14ac:dyDescent="0.3">
      <c r="A24" s="4"/>
      <c r="B24" s="4"/>
      <c r="C24" s="13" t="s">
        <v>116</v>
      </c>
      <c r="D24" s="4"/>
      <c r="E24" s="5">
        <f>SUBTOTAL(4,E21:E23)</f>
        <v>0.67500000000000004</v>
      </c>
    </row>
    <row r="25" spans="1:5" outlineLevel="3" x14ac:dyDescent="0.3">
      <c r="A25" s="4" t="s">
        <v>42</v>
      </c>
      <c r="B25" s="4" t="s">
        <v>43</v>
      </c>
      <c r="C25" s="4" t="s">
        <v>7</v>
      </c>
      <c r="D25" s="4">
        <v>25</v>
      </c>
      <c r="E25" s="5">
        <v>0.6</v>
      </c>
    </row>
    <row r="26" spans="1:5" outlineLevel="3" x14ac:dyDescent="0.3">
      <c r="A26" s="4" t="s">
        <v>42</v>
      </c>
      <c r="B26" s="4" t="s">
        <v>48</v>
      </c>
      <c r="C26" s="4" t="s">
        <v>7</v>
      </c>
      <c r="D26" s="4">
        <v>40</v>
      </c>
      <c r="E26" s="5">
        <v>0.85</v>
      </c>
    </row>
    <row r="27" spans="1:5" outlineLevel="3" x14ac:dyDescent="0.3">
      <c r="A27" s="4" t="s">
        <v>42</v>
      </c>
      <c r="B27" s="4" t="s">
        <v>49</v>
      </c>
      <c r="C27" s="4" t="s">
        <v>7</v>
      </c>
      <c r="D27" s="4">
        <v>42</v>
      </c>
      <c r="E27" s="5">
        <v>0.547619047619048</v>
      </c>
    </row>
    <row r="28" spans="1:5" outlineLevel="3" x14ac:dyDescent="0.3">
      <c r="A28" s="4" t="s">
        <v>42</v>
      </c>
      <c r="B28" s="4" t="s">
        <v>55</v>
      </c>
      <c r="C28" s="4" t="s">
        <v>7</v>
      </c>
      <c r="D28" s="4">
        <v>50</v>
      </c>
      <c r="E28" s="5">
        <v>0.46</v>
      </c>
    </row>
    <row r="29" spans="1:5" outlineLevel="2" x14ac:dyDescent="0.3">
      <c r="A29" s="14"/>
      <c r="B29" s="14"/>
      <c r="C29" s="16" t="s">
        <v>117</v>
      </c>
      <c r="D29" s="14"/>
      <c r="E29" s="15">
        <f>SUBTOTAL(4,E25:E28)</f>
        <v>0.85</v>
      </c>
    </row>
    <row r="30" spans="1:5" outlineLevel="1" x14ac:dyDescent="0.3">
      <c r="A30" s="16" t="s">
        <v>115</v>
      </c>
      <c r="B30" s="14"/>
      <c r="C30" s="14"/>
      <c r="D30" s="14">
        <f>SUBTOTAL(1,D21:D28)</f>
        <v>44.571428571428569</v>
      </c>
      <c r="E30" s="15"/>
    </row>
    <row r="31" spans="1:5" x14ac:dyDescent="0.3">
      <c r="A31" s="16"/>
      <c r="B31" s="14"/>
      <c r="C31" s="16" t="s">
        <v>118</v>
      </c>
      <c r="D31" s="14"/>
      <c r="E31" s="15">
        <f>SUBTOTAL(4,E3:E28)</f>
        <v>0.85</v>
      </c>
    </row>
    <row r="32" spans="1:5" x14ac:dyDescent="0.3">
      <c r="A32" s="16" t="s">
        <v>109</v>
      </c>
      <c r="B32" s="14"/>
      <c r="C32" s="14"/>
      <c r="D32" s="14">
        <f>SUBTOTAL(1,D3:D28)</f>
        <v>47.842105263157897</v>
      </c>
      <c r="E32" s="15"/>
    </row>
  </sheetData>
  <sortState xmlns:xlrd2="http://schemas.microsoft.com/office/spreadsheetml/2017/richdata2" ref="A3:E28">
    <sortCondition ref="A3:A28"/>
    <sortCondition ref="C3:C28"/>
  </sortState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7F2F3-946F-49CC-8E0E-5109EF4DFEB3}">
  <sheetPr>
    <tabColor theme="7" tint="0.59999389629810485"/>
  </sheetPr>
  <dimension ref="A1:G28"/>
  <sheetViews>
    <sheetView workbookViewId="0"/>
  </sheetViews>
  <sheetFormatPr defaultRowHeight="16.5" outlineLevelRow="3" x14ac:dyDescent="0.3"/>
  <cols>
    <col min="3" max="3" width="16.125" bestFit="1" customWidth="1"/>
  </cols>
  <sheetData>
    <row r="1" spans="1:7" x14ac:dyDescent="0.3">
      <c r="A1" t="s">
        <v>35</v>
      </c>
    </row>
    <row r="2" spans="1:7" x14ac:dyDescent="0.3">
      <c r="A2" s="6" t="s">
        <v>60</v>
      </c>
      <c r="B2" s="6" t="s">
        <v>61</v>
      </c>
      <c r="C2" s="6" t="s">
        <v>62</v>
      </c>
      <c r="D2" s="6" t="s">
        <v>63</v>
      </c>
      <c r="E2" s="6" t="s">
        <v>64</v>
      </c>
      <c r="F2" s="6" t="s">
        <v>65</v>
      </c>
      <c r="G2" s="6" t="s">
        <v>66</v>
      </c>
    </row>
    <row r="3" spans="1:7" outlineLevel="3" x14ac:dyDescent="0.3">
      <c r="A3" s="6" t="s">
        <v>67</v>
      </c>
      <c r="B3" s="6" t="s">
        <v>68</v>
      </c>
      <c r="C3" s="6" t="s">
        <v>69</v>
      </c>
      <c r="D3" s="7">
        <v>17</v>
      </c>
      <c r="E3" s="7">
        <v>32</v>
      </c>
      <c r="F3" s="7">
        <v>54</v>
      </c>
      <c r="G3" s="7">
        <v>103</v>
      </c>
    </row>
    <row r="4" spans="1:7" outlineLevel="3" x14ac:dyDescent="0.3">
      <c r="A4" s="6" t="s">
        <v>70</v>
      </c>
      <c r="B4" s="6" t="s">
        <v>71</v>
      </c>
      <c r="C4" s="6" t="s">
        <v>69</v>
      </c>
      <c r="D4" s="7">
        <v>38</v>
      </c>
      <c r="E4" s="7">
        <v>40</v>
      </c>
      <c r="F4" s="7">
        <v>37</v>
      </c>
      <c r="G4" s="7">
        <v>115</v>
      </c>
    </row>
    <row r="5" spans="1:7" outlineLevel="3" x14ac:dyDescent="0.3">
      <c r="A5" s="6" t="s">
        <v>75</v>
      </c>
      <c r="B5" s="6" t="s">
        <v>76</v>
      </c>
      <c r="C5" s="6" t="s">
        <v>69</v>
      </c>
      <c r="D5" s="7">
        <v>27</v>
      </c>
      <c r="E5" s="7">
        <v>40</v>
      </c>
      <c r="F5" s="7">
        <v>87</v>
      </c>
      <c r="G5" s="7">
        <v>154</v>
      </c>
    </row>
    <row r="6" spans="1:7" outlineLevel="3" x14ac:dyDescent="0.3">
      <c r="A6" s="6" t="s">
        <v>77</v>
      </c>
      <c r="B6" s="6" t="s">
        <v>78</v>
      </c>
      <c r="C6" s="6" t="s">
        <v>69</v>
      </c>
      <c r="D6" s="7">
        <v>46</v>
      </c>
      <c r="E6" s="7">
        <v>41</v>
      </c>
      <c r="F6" s="7">
        <v>32</v>
      </c>
      <c r="G6" s="7">
        <v>119</v>
      </c>
    </row>
    <row r="7" spans="1:7" outlineLevel="3" x14ac:dyDescent="0.3">
      <c r="A7" s="6" t="s">
        <v>102</v>
      </c>
      <c r="B7" s="6" t="s">
        <v>103</v>
      </c>
      <c r="C7" s="6" t="s">
        <v>69</v>
      </c>
      <c r="D7" s="7">
        <v>35</v>
      </c>
      <c r="E7" s="7">
        <v>32</v>
      </c>
      <c r="F7" s="7">
        <v>94</v>
      </c>
      <c r="G7" s="7">
        <v>161</v>
      </c>
    </row>
    <row r="8" spans="1:7" outlineLevel="3" x14ac:dyDescent="0.3">
      <c r="A8" s="6" t="s">
        <v>104</v>
      </c>
      <c r="B8" s="6" t="s">
        <v>105</v>
      </c>
      <c r="C8" s="6" t="s">
        <v>69</v>
      </c>
      <c r="D8" s="7">
        <v>47</v>
      </c>
      <c r="E8" s="7">
        <v>17</v>
      </c>
      <c r="F8" s="7">
        <v>99</v>
      </c>
      <c r="G8" s="7">
        <v>163</v>
      </c>
    </row>
    <row r="9" spans="1:7" outlineLevel="2" x14ac:dyDescent="0.3">
      <c r="A9" s="6"/>
      <c r="B9" s="6"/>
      <c r="C9" s="17" t="s">
        <v>122</v>
      </c>
      <c r="D9" s="7"/>
      <c r="E9" s="7"/>
      <c r="F9" s="7"/>
      <c r="G9" s="7">
        <f>SUBTOTAL(1,G3:G8)</f>
        <v>135.83333333333334</v>
      </c>
    </row>
    <row r="10" spans="1:7" outlineLevel="1" x14ac:dyDescent="0.3">
      <c r="A10" s="6"/>
      <c r="B10" s="6"/>
      <c r="C10" s="17" t="s">
        <v>119</v>
      </c>
      <c r="D10" s="7"/>
      <c r="E10" s="7"/>
      <c r="F10" s="7"/>
      <c r="G10" s="7">
        <f>SUBTOTAL(3,G3:G8)</f>
        <v>6</v>
      </c>
    </row>
    <row r="11" spans="1:7" outlineLevel="3" x14ac:dyDescent="0.3">
      <c r="A11" s="6" t="s">
        <v>85</v>
      </c>
      <c r="B11" s="6" t="s">
        <v>86</v>
      </c>
      <c r="C11" s="6" t="s">
        <v>87</v>
      </c>
      <c r="D11" s="7">
        <v>45</v>
      </c>
      <c r="E11" s="7">
        <v>50</v>
      </c>
      <c r="F11" s="7">
        <v>43</v>
      </c>
      <c r="G11" s="7">
        <v>138</v>
      </c>
    </row>
    <row r="12" spans="1:7" outlineLevel="3" x14ac:dyDescent="0.3">
      <c r="A12" s="6" t="s">
        <v>88</v>
      </c>
      <c r="B12" s="6" t="s">
        <v>89</v>
      </c>
      <c r="C12" s="6" t="s">
        <v>87</v>
      </c>
      <c r="D12" s="7">
        <v>41</v>
      </c>
      <c r="E12" s="7">
        <v>45</v>
      </c>
      <c r="F12" s="7">
        <v>71</v>
      </c>
      <c r="G12" s="7">
        <v>157</v>
      </c>
    </row>
    <row r="13" spans="1:7" outlineLevel="3" x14ac:dyDescent="0.3">
      <c r="A13" s="6" t="s">
        <v>94</v>
      </c>
      <c r="B13" s="6" t="s">
        <v>95</v>
      </c>
      <c r="C13" s="6" t="s">
        <v>87</v>
      </c>
      <c r="D13" s="7">
        <v>45</v>
      </c>
      <c r="E13" s="7">
        <v>46</v>
      </c>
      <c r="F13" s="7">
        <v>34</v>
      </c>
      <c r="G13" s="7">
        <v>125</v>
      </c>
    </row>
    <row r="14" spans="1:7" outlineLevel="3" x14ac:dyDescent="0.3">
      <c r="A14" s="6" t="s">
        <v>98</v>
      </c>
      <c r="B14" s="6" t="s">
        <v>99</v>
      </c>
      <c r="C14" s="6" t="s">
        <v>87</v>
      </c>
      <c r="D14" s="7">
        <v>41</v>
      </c>
      <c r="E14" s="7">
        <v>38</v>
      </c>
      <c r="F14" s="7">
        <v>41</v>
      </c>
      <c r="G14" s="7">
        <v>120</v>
      </c>
    </row>
    <row r="15" spans="1:7" outlineLevel="3" x14ac:dyDescent="0.3">
      <c r="A15" s="6" t="s">
        <v>100</v>
      </c>
      <c r="B15" s="6" t="s">
        <v>101</v>
      </c>
      <c r="C15" s="6" t="s">
        <v>87</v>
      </c>
      <c r="D15" s="7">
        <v>22</v>
      </c>
      <c r="E15" s="7">
        <v>34</v>
      </c>
      <c r="F15" s="7">
        <v>55</v>
      </c>
      <c r="G15" s="7">
        <v>111</v>
      </c>
    </row>
    <row r="16" spans="1:7" outlineLevel="2" x14ac:dyDescent="0.3">
      <c r="A16" s="6"/>
      <c r="B16" s="6"/>
      <c r="C16" s="17" t="s">
        <v>123</v>
      </c>
      <c r="D16" s="7"/>
      <c r="E16" s="7"/>
      <c r="F16" s="7"/>
      <c r="G16" s="7">
        <f>SUBTOTAL(1,G11:G15)</f>
        <v>130.19999999999999</v>
      </c>
    </row>
    <row r="17" spans="1:7" outlineLevel="1" x14ac:dyDescent="0.3">
      <c r="A17" s="6"/>
      <c r="B17" s="6"/>
      <c r="C17" s="17" t="s">
        <v>120</v>
      </c>
      <c r="D17" s="7"/>
      <c r="E17" s="7"/>
      <c r="F17" s="7"/>
      <c r="G17" s="7">
        <f>SUBTOTAL(3,G11:G15)</f>
        <v>5</v>
      </c>
    </row>
    <row r="18" spans="1:7" outlineLevel="3" x14ac:dyDescent="0.3">
      <c r="A18" s="6" t="s">
        <v>72</v>
      </c>
      <c r="B18" s="6" t="s">
        <v>73</v>
      </c>
      <c r="C18" s="6" t="s">
        <v>74</v>
      </c>
      <c r="D18" s="7">
        <v>39</v>
      </c>
      <c r="E18" s="7">
        <v>42</v>
      </c>
      <c r="F18" s="7">
        <v>50</v>
      </c>
      <c r="G18" s="7">
        <v>131</v>
      </c>
    </row>
    <row r="19" spans="1:7" outlineLevel="3" x14ac:dyDescent="0.3">
      <c r="A19" s="6" t="s">
        <v>79</v>
      </c>
      <c r="B19" s="6" t="s">
        <v>80</v>
      </c>
      <c r="C19" s="6" t="s">
        <v>74</v>
      </c>
      <c r="D19" s="7">
        <v>32</v>
      </c>
      <c r="E19" s="7">
        <v>49</v>
      </c>
      <c r="F19" s="7">
        <v>78</v>
      </c>
      <c r="G19" s="7">
        <v>159</v>
      </c>
    </row>
    <row r="20" spans="1:7" outlineLevel="3" x14ac:dyDescent="0.3">
      <c r="A20" s="6" t="s">
        <v>81</v>
      </c>
      <c r="B20" s="6" t="s">
        <v>82</v>
      </c>
      <c r="C20" s="6" t="s">
        <v>74</v>
      </c>
      <c r="D20" s="7">
        <v>38</v>
      </c>
      <c r="E20" s="7">
        <v>47</v>
      </c>
      <c r="F20" s="7">
        <v>58</v>
      </c>
      <c r="G20" s="7">
        <v>143</v>
      </c>
    </row>
    <row r="21" spans="1:7" outlineLevel="3" x14ac:dyDescent="0.3">
      <c r="A21" s="6" t="s">
        <v>83</v>
      </c>
      <c r="B21" s="6" t="s">
        <v>84</v>
      </c>
      <c r="C21" s="6" t="s">
        <v>74</v>
      </c>
      <c r="D21" s="7">
        <v>50</v>
      </c>
      <c r="E21" s="7">
        <v>25</v>
      </c>
      <c r="F21" s="7">
        <v>53</v>
      </c>
      <c r="G21" s="7">
        <v>128</v>
      </c>
    </row>
    <row r="22" spans="1:7" outlineLevel="3" x14ac:dyDescent="0.3">
      <c r="A22" s="6" t="s">
        <v>90</v>
      </c>
      <c r="B22" s="6" t="s">
        <v>91</v>
      </c>
      <c r="C22" s="6" t="s">
        <v>74</v>
      </c>
      <c r="D22" s="7">
        <v>48</v>
      </c>
      <c r="E22" s="7">
        <v>35</v>
      </c>
      <c r="F22" s="7">
        <v>81</v>
      </c>
      <c r="G22" s="7">
        <v>164</v>
      </c>
    </row>
    <row r="23" spans="1:7" outlineLevel="3" x14ac:dyDescent="0.3">
      <c r="A23" s="6" t="s">
        <v>92</v>
      </c>
      <c r="B23" s="6" t="s">
        <v>93</v>
      </c>
      <c r="C23" s="6" t="s">
        <v>74</v>
      </c>
      <c r="D23" s="7">
        <v>40</v>
      </c>
      <c r="E23" s="7">
        <v>39</v>
      </c>
      <c r="F23" s="7">
        <v>61</v>
      </c>
      <c r="G23" s="7">
        <v>140</v>
      </c>
    </row>
    <row r="24" spans="1:7" outlineLevel="3" x14ac:dyDescent="0.3">
      <c r="A24" s="6" t="s">
        <v>96</v>
      </c>
      <c r="B24" s="6" t="s">
        <v>97</v>
      </c>
      <c r="C24" s="6" t="s">
        <v>74</v>
      </c>
      <c r="D24" s="7">
        <v>22</v>
      </c>
      <c r="E24" s="7">
        <v>32</v>
      </c>
      <c r="F24" s="7">
        <v>57</v>
      </c>
      <c r="G24" s="7">
        <v>111</v>
      </c>
    </row>
    <row r="25" spans="1:7" outlineLevel="2" x14ac:dyDescent="0.3">
      <c r="A25" s="18"/>
      <c r="B25" s="18"/>
      <c r="C25" s="20" t="s">
        <v>124</v>
      </c>
      <c r="D25" s="19"/>
      <c r="E25" s="19"/>
      <c r="F25" s="19"/>
      <c r="G25" s="19">
        <f>SUBTOTAL(1,G18:G24)</f>
        <v>139.42857142857142</v>
      </c>
    </row>
    <row r="26" spans="1:7" outlineLevel="1" x14ac:dyDescent="0.3">
      <c r="A26" s="18"/>
      <c r="B26" s="18"/>
      <c r="C26" s="20" t="s">
        <v>121</v>
      </c>
      <c r="D26" s="19"/>
      <c r="E26" s="19"/>
      <c r="F26" s="19"/>
      <c r="G26" s="19">
        <f>SUBTOTAL(3,G18:G24)</f>
        <v>7</v>
      </c>
    </row>
    <row r="27" spans="1:7" x14ac:dyDescent="0.3">
      <c r="A27" s="18"/>
      <c r="B27" s="18"/>
      <c r="C27" s="20" t="s">
        <v>109</v>
      </c>
      <c r="D27" s="19"/>
      <c r="E27" s="19"/>
      <c r="F27" s="19"/>
      <c r="G27" s="19">
        <f>SUBTOTAL(1,G3:G24)</f>
        <v>135.66666666666666</v>
      </c>
    </row>
    <row r="28" spans="1:7" x14ac:dyDescent="0.3">
      <c r="A28" s="18"/>
      <c r="B28" s="18"/>
      <c r="C28" s="20" t="s">
        <v>112</v>
      </c>
      <c r="D28" s="19"/>
      <c r="E28" s="19"/>
      <c r="F28" s="19"/>
      <c r="G28" s="19">
        <f>SUBTOTAL(3,G3:G24)</f>
        <v>18</v>
      </c>
    </row>
  </sheetData>
  <sortState xmlns:xlrd2="http://schemas.microsoft.com/office/spreadsheetml/2017/richdata2" ref="A3:G24">
    <sortCondition ref="C3:C24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합격포인트_01</vt:lpstr>
      <vt:lpstr>02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2023-07-14T08:53:50Z</dcterms:created>
  <dcterms:modified xsi:type="dcterms:W3CDTF">2023-11-08T02:36:09Z</dcterms:modified>
</cp:coreProperties>
</file>