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F:\2021\총정리 실습파일\엑셀\기능\"/>
    </mc:Choice>
  </mc:AlternateContent>
  <xr:revisionPtr revIDLastSave="0" documentId="8_{77E0A77B-084E-4210-87B8-919ECC97C575}" xr6:coauthVersionLast="47" xr6:coauthVersionMax="47" xr10:uidLastSave="{00000000-0000-0000-0000-000000000000}"/>
  <bookViews>
    <workbookView xWindow="970" yWindow="1110" windowWidth="20590" windowHeight="17450" xr2:uid="{EE8280E9-AC1A-448E-8612-DC40E53178F5}"/>
  </bookViews>
  <sheets>
    <sheet name="합격포인트_01-유형1" sheetId="1" r:id="rId1"/>
    <sheet name="01-유형2" sheetId="2" r:id="rId2"/>
    <sheet name="02" sheetId="3" r:id="rId3"/>
    <sheet name="대표기출문제_기출1" sheetId="4" r:id="rId4"/>
    <sheet name="기출2" sheetId="5" r:id="rId5"/>
    <sheet name="기출3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6" l="1"/>
  <c r="G3" i="6"/>
  <c r="H3" i="6"/>
  <c r="F4" i="6"/>
  <c r="H4" i="6" s="1"/>
  <c r="G4" i="6"/>
  <c r="F5" i="6"/>
  <c r="H5" i="6" s="1"/>
  <c r="G5" i="6"/>
  <c r="F6" i="6"/>
  <c r="G6" i="6"/>
  <c r="H6" i="6"/>
  <c r="F7" i="6"/>
  <c r="G7" i="6"/>
  <c r="H7" i="6" s="1"/>
  <c r="F8" i="6"/>
  <c r="H8" i="6" s="1"/>
  <c r="G8" i="6"/>
  <c r="F9" i="6"/>
  <c r="G9" i="6"/>
  <c r="H9" i="6" s="1"/>
  <c r="F10" i="6"/>
  <c r="G10" i="6"/>
  <c r="H10" i="6" s="1"/>
  <c r="F11" i="6"/>
  <c r="G11" i="6"/>
  <c r="H11" i="6"/>
  <c r="F12" i="6"/>
  <c r="G12" i="6"/>
  <c r="H12" i="6" s="1"/>
</calcChain>
</file>

<file path=xl/sharedStrings.xml><?xml version="1.0" encoding="utf-8"?>
<sst xmlns="http://schemas.openxmlformats.org/spreadsheetml/2006/main" count="332" uniqueCount="141">
  <si>
    <t>사원번호</t>
  </si>
  <si>
    <t>이름</t>
  </si>
  <si>
    <t>직책</t>
  </si>
  <si>
    <t>부서</t>
  </si>
  <si>
    <t>본봉</t>
  </si>
  <si>
    <t>제갈량</t>
  </si>
  <si>
    <t>부장</t>
  </si>
  <si>
    <t>영업1부</t>
  </si>
  <si>
    <t>송혜영</t>
  </si>
  <si>
    <t>총무과</t>
  </si>
  <si>
    <t>조자룡</t>
  </si>
  <si>
    <t>과장</t>
  </si>
  <si>
    <t>기획실</t>
  </si>
  <si>
    <t>이유림</t>
  </si>
  <si>
    <t>이충렬</t>
  </si>
  <si>
    <t>영업4부</t>
  </si>
  <si>
    <t>김구완</t>
  </si>
  <si>
    <t>대리</t>
  </si>
  <si>
    <t>전주욱</t>
  </si>
  <si>
    <t>윤인수</t>
  </si>
  <si>
    <t>이관우</t>
  </si>
  <si>
    <t>사원</t>
  </si>
  <si>
    <t>영업3부</t>
  </si>
  <si>
    <t>서정화</t>
  </si>
  <si>
    <t>노지심</t>
  </si>
  <si>
    <t>곽장비</t>
  </si>
  <si>
    <t>[표1]</t>
  </si>
  <si>
    <t>데이터베이스</t>
  </si>
  <si>
    <t>데이터통신</t>
  </si>
  <si>
    <t>운영체제</t>
  </si>
  <si>
    <t>소프트웨어공학</t>
  </si>
  <si>
    <t>강석호</t>
  </si>
  <si>
    <t>김용민</t>
  </si>
  <si>
    <t>김우희</t>
  </si>
  <si>
    <t>김천명</t>
  </si>
  <si>
    <t>명세진</t>
  </si>
  <si>
    <t>양세진</t>
  </si>
  <si>
    <t>유구희</t>
  </si>
  <si>
    <t>이상정</t>
  </si>
  <si>
    <t>이신영</t>
  </si>
  <si>
    <t>이아현</t>
  </si>
  <si>
    <t>임수경</t>
  </si>
  <si>
    <t>최정운</t>
  </si>
  <si>
    <t>최준경</t>
  </si>
  <si>
    <t>홍길동</t>
  </si>
  <si>
    <t>환자코드</t>
  </si>
  <si>
    <t>성명</t>
  </si>
  <si>
    <t>생년월일</t>
  </si>
  <si>
    <t>성별</t>
  </si>
  <si>
    <t>진료과목</t>
  </si>
  <si>
    <t>담당의사</t>
  </si>
  <si>
    <t>A014</t>
  </si>
  <si>
    <t>성애연</t>
  </si>
  <si>
    <t>여</t>
  </si>
  <si>
    <t>호흡기내과</t>
  </si>
  <si>
    <t>김지수</t>
  </si>
  <si>
    <t>B215</t>
  </si>
  <si>
    <t>소금진</t>
  </si>
  <si>
    <t>남</t>
  </si>
  <si>
    <t>피부과</t>
  </si>
  <si>
    <t>김종남</t>
  </si>
  <si>
    <t>A018</t>
  </si>
  <si>
    <t>강말순</t>
  </si>
  <si>
    <t>흉부외과</t>
  </si>
  <si>
    <t>박종식</t>
  </si>
  <si>
    <t>F302</t>
  </si>
  <si>
    <t>김상호</t>
  </si>
  <si>
    <t>소화기내과</t>
  </si>
  <si>
    <t>남민종</t>
  </si>
  <si>
    <t>B216</t>
  </si>
  <si>
    <t>김병철</t>
  </si>
  <si>
    <t>A051</t>
  </si>
  <si>
    <t>전만호</t>
  </si>
  <si>
    <t>신경외과</t>
  </si>
  <si>
    <t>임지영</t>
  </si>
  <si>
    <t>C109</t>
  </si>
  <si>
    <t>전준호</t>
  </si>
  <si>
    <t>D210</t>
  </si>
  <si>
    <t>용화숙</t>
  </si>
  <si>
    <t>A011</t>
  </si>
  <si>
    <t>이수만</t>
  </si>
  <si>
    <t>D371</t>
  </si>
  <si>
    <t>이종호</t>
  </si>
  <si>
    <t>정형외과</t>
  </si>
  <si>
    <t>하석태</t>
  </si>
  <si>
    <t>C101</t>
  </si>
  <si>
    <t>진보람</t>
  </si>
  <si>
    <t>F301</t>
  </si>
  <si>
    <t>오현정</t>
  </si>
  <si>
    <t>C229</t>
  </si>
  <si>
    <t>이태백</t>
  </si>
  <si>
    <t>가정의학과</t>
  </si>
  <si>
    <t>편영표</t>
  </si>
  <si>
    <t>D372</t>
  </si>
  <si>
    <t>김서우</t>
  </si>
  <si>
    <t>산부인과</t>
  </si>
  <si>
    <t>곽수지</t>
  </si>
  <si>
    <t>D051</t>
  </si>
  <si>
    <t>양경숙</t>
  </si>
  <si>
    <t>A013</t>
  </si>
  <si>
    <t>이영덕</t>
  </si>
  <si>
    <t>D052</t>
  </si>
  <si>
    <t>강진희</t>
  </si>
  <si>
    <t>B217</t>
  </si>
  <si>
    <t>이샛별</t>
  </si>
  <si>
    <t>C228</t>
  </si>
  <si>
    <t>김정근</t>
  </si>
  <si>
    <t>A017</t>
  </si>
  <si>
    <t>임효인</t>
  </si>
  <si>
    <t>D213</t>
  </si>
  <si>
    <t>이유라</t>
  </si>
  <si>
    <t>D331</t>
  </si>
  <si>
    <t>장길산</t>
  </si>
  <si>
    <t>B219</t>
  </si>
  <si>
    <t>김창무</t>
  </si>
  <si>
    <t>A015</t>
  </si>
  <si>
    <t>유경수</t>
  </si>
  <si>
    <t>C106</t>
  </si>
  <si>
    <t>이남석</t>
  </si>
  <si>
    <t>D217</t>
  </si>
  <si>
    <t>황귀영</t>
  </si>
  <si>
    <t>B218</t>
  </si>
  <si>
    <t>심수미</t>
  </si>
  <si>
    <t>F491</t>
  </si>
  <si>
    <t>박철수</t>
  </si>
  <si>
    <t>부서명</t>
  </si>
  <si>
    <t>근속기간</t>
  </si>
  <si>
    <t>기본급</t>
  </si>
  <si>
    <t>상여금</t>
  </si>
  <si>
    <t>수당</t>
  </si>
  <si>
    <t>퇴직금</t>
  </si>
  <si>
    <t>강감찬</t>
  </si>
  <si>
    <t>회계부</t>
  </si>
  <si>
    <t>최재석</t>
  </si>
  <si>
    <t>최강석</t>
  </si>
  <si>
    <t>기획인사부</t>
  </si>
  <si>
    <t>조민준</t>
  </si>
  <si>
    <t>영업부</t>
  </si>
  <si>
    <t>차장</t>
  </si>
  <si>
    <t>김재욱</t>
  </si>
  <si>
    <t>송치윤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</si>
</sst>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14" fontId="0" fillId="0" borderId="1" xfId="0" applyNumberFormat="1" applyBorder="1">
      <alignment vertical="center"/>
    </xf>
    <xf numFmtId="41" fontId="0" fillId="0" borderId="1" xfId="0" applyNumberForma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853C4-FC82-4143-8833-76B6C76F8822}">
  <dimension ref="A1:E14"/>
  <sheetViews>
    <sheetView tabSelected="1" workbookViewId="0">
      <selection activeCell="C9" sqref="C9"/>
    </sheetView>
  </sheetViews>
  <sheetFormatPr defaultRowHeight="17" x14ac:dyDescent="0.45"/>
  <sheetData>
    <row r="1" spans="1:5" x14ac:dyDescent="0.45">
      <c r="A1" t="s">
        <v>26</v>
      </c>
    </row>
    <row r="2" spans="1:5" x14ac:dyDescent="0.4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</row>
    <row r="3" spans="1:5" x14ac:dyDescent="0.45">
      <c r="A3" s="1">
        <v>3112</v>
      </c>
      <c r="B3" s="1" t="s">
        <v>5</v>
      </c>
      <c r="C3" s="1" t="s">
        <v>6</v>
      </c>
      <c r="D3" s="1" t="s">
        <v>7</v>
      </c>
      <c r="E3" s="2">
        <v>95620</v>
      </c>
    </row>
    <row r="4" spans="1:5" x14ac:dyDescent="0.45">
      <c r="A4" s="1">
        <v>2106</v>
      </c>
      <c r="B4" s="1" t="s">
        <v>8</v>
      </c>
      <c r="C4" s="1" t="s">
        <v>6</v>
      </c>
      <c r="D4" s="1" t="s">
        <v>9</v>
      </c>
      <c r="E4" s="2">
        <v>102500</v>
      </c>
    </row>
    <row r="5" spans="1:5" x14ac:dyDescent="0.45">
      <c r="A5" s="1">
        <v>4029</v>
      </c>
      <c r="B5" s="1" t="s">
        <v>10</v>
      </c>
      <c r="C5" s="1" t="s">
        <v>11</v>
      </c>
      <c r="D5" s="1" t="s">
        <v>12</v>
      </c>
      <c r="E5" s="2">
        <v>72533</v>
      </c>
    </row>
    <row r="6" spans="1:5" x14ac:dyDescent="0.45">
      <c r="A6" s="1">
        <v>1003</v>
      </c>
      <c r="B6" s="1" t="s">
        <v>13</v>
      </c>
      <c r="C6" s="1" t="s">
        <v>11</v>
      </c>
      <c r="D6" s="1" t="s">
        <v>12</v>
      </c>
      <c r="E6" s="2">
        <v>56800</v>
      </c>
    </row>
    <row r="7" spans="1:5" x14ac:dyDescent="0.45">
      <c r="A7" s="1">
        <v>3424</v>
      </c>
      <c r="B7" s="1" t="s">
        <v>14</v>
      </c>
      <c r="C7" s="1" t="s">
        <v>11</v>
      </c>
      <c r="D7" s="1" t="s">
        <v>15</v>
      </c>
      <c r="E7" s="2">
        <v>85110</v>
      </c>
    </row>
    <row r="8" spans="1:5" x14ac:dyDescent="0.45">
      <c r="A8" s="1">
        <v>2105</v>
      </c>
      <c r="B8" s="1" t="s">
        <v>16</v>
      </c>
      <c r="C8" s="1" t="s">
        <v>17</v>
      </c>
      <c r="D8" s="1" t="s">
        <v>9</v>
      </c>
      <c r="E8" s="2">
        <v>55850</v>
      </c>
    </row>
    <row r="9" spans="1:5" x14ac:dyDescent="0.45">
      <c r="A9" s="1">
        <v>2107</v>
      </c>
      <c r="B9" s="1" t="s">
        <v>18</v>
      </c>
      <c r="C9" s="1" t="s">
        <v>17</v>
      </c>
      <c r="D9" s="1" t="s">
        <v>12</v>
      </c>
      <c r="E9" s="2">
        <v>62500</v>
      </c>
    </row>
    <row r="10" spans="1:5" x14ac:dyDescent="0.45">
      <c r="A10" s="1">
        <v>2208</v>
      </c>
      <c r="B10" s="1" t="s">
        <v>19</v>
      </c>
      <c r="C10" s="1" t="s">
        <v>17</v>
      </c>
      <c r="D10" s="1" t="s">
        <v>12</v>
      </c>
      <c r="E10" s="2">
        <v>56520</v>
      </c>
    </row>
    <row r="11" spans="1:5" x14ac:dyDescent="0.45">
      <c r="A11" s="1">
        <v>3321</v>
      </c>
      <c r="B11" s="1" t="s">
        <v>20</v>
      </c>
      <c r="C11" s="1" t="s">
        <v>21</v>
      </c>
      <c r="D11" s="1" t="s">
        <v>22</v>
      </c>
      <c r="E11" s="2">
        <v>58000</v>
      </c>
    </row>
    <row r="12" spans="1:5" x14ac:dyDescent="0.45">
      <c r="A12" s="1">
        <v>2210</v>
      </c>
      <c r="B12" s="1" t="s">
        <v>23</v>
      </c>
      <c r="C12" s="1" t="s">
        <v>21</v>
      </c>
      <c r="D12" s="1" t="s">
        <v>9</v>
      </c>
      <c r="E12" s="2">
        <v>64250</v>
      </c>
    </row>
    <row r="13" spans="1:5" x14ac:dyDescent="0.45">
      <c r="A13" s="1">
        <v>3115</v>
      </c>
      <c r="B13" s="1" t="s">
        <v>24</v>
      </c>
      <c r="C13" s="1" t="s">
        <v>21</v>
      </c>
      <c r="D13" s="1" t="s">
        <v>7</v>
      </c>
      <c r="E13" s="2">
        <v>35200</v>
      </c>
    </row>
    <row r="14" spans="1:5" x14ac:dyDescent="0.45">
      <c r="A14" s="1">
        <v>3322</v>
      </c>
      <c r="B14" s="1" t="s">
        <v>25</v>
      </c>
      <c r="C14" s="1" t="s">
        <v>21</v>
      </c>
      <c r="D14" s="1" t="s">
        <v>22</v>
      </c>
      <c r="E14" s="2">
        <v>45600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D8BEA-D37C-4FF6-B1C1-0BADE48755ED}">
  <dimension ref="A1:E14"/>
  <sheetViews>
    <sheetView workbookViewId="0">
      <selection activeCell="E14" sqref="E14"/>
    </sheetView>
  </sheetViews>
  <sheetFormatPr defaultRowHeight="17" x14ac:dyDescent="0.45"/>
  <sheetData>
    <row r="1" spans="1:5" x14ac:dyDescent="0.45">
      <c r="A1" t="s">
        <v>26</v>
      </c>
    </row>
    <row r="2" spans="1:5" x14ac:dyDescent="0.4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</row>
    <row r="3" spans="1:5" x14ac:dyDescent="0.45">
      <c r="A3" s="1">
        <v>3112</v>
      </c>
      <c r="B3" s="1" t="s">
        <v>5</v>
      </c>
      <c r="C3" s="1" t="s">
        <v>6</v>
      </c>
      <c r="D3" s="1" t="s">
        <v>7</v>
      </c>
      <c r="E3" s="2">
        <v>95620</v>
      </c>
    </row>
    <row r="4" spans="1:5" x14ac:dyDescent="0.45">
      <c r="A4" s="1">
        <v>2106</v>
      </c>
      <c r="B4" s="1" t="s">
        <v>8</v>
      </c>
      <c r="C4" s="1" t="s">
        <v>6</v>
      </c>
      <c r="D4" s="1" t="s">
        <v>9</v>
      </c>
      <c r="E4" s="2">
        <v>102500</v>
      </c>
    </row>
    <row r="5" spans="1:5" x14ac:dyDescent="0.45">
      <c r="A5" s="1">
        <v>4029</v>
      </c>
      <c r="B5" s="1" t="s">
        <v>10</v>
      </c>
      <c r="C5" s="1" t="s">
        <v>11</v>
      </c>
      <c r="D5" s="1" t="s">
        <v>12</v>
      </c>
      <c r="E5" s="2">
        <v>72533</v>
      </c>
    </row>
    <row r="6" spans="1:5" x14ac:dyDescent="0.45">
      <c r="A6" s="1">
        <v>1003</v>
      </c>
      <c r="B6" s="1" t="s">
        <v>13</v>
      </c>
      <c r="C6" s="1" t="s">
        <v>11</v>
      </c>
      <c r="D6" s="1" t="s">
        <v>12</v>
      </c>
      <c r="E6" s="2">
        <v>56800</v>
      </c>
    </row>
    <row r="7" spans="1:5" x14ac:dyDescent="0.45">
      <c r="A7" s="1">
        <v>3424</v>
      </c>
      <c r="B7" s="1" t="s">
        <v>14</v>
      </c>
      <c r="C7" s="1" t="s">
        <v>11</v>
      </c>
      <c r="D7" s="1" t="s">
        <v>15</v>
      </c>
      <c r="E7" s="2">
        <v>85110</v>
      </c>
    </row>
    <row r="8" spans="1:5" x14ac:dyDescent="0.45">
      <c r="A8" s="1">
        <v>2105</v>
      </c>
      <c r="B8" s="1" t="s">
        <v>16</v>
      </c>
      <c r="C8" s="1" t="s">
        <v>17</v>
      </c>
      <c r="D8" s="1" t="s">
        <v>9</v>
      </c>
      <c r="E8" s="2">
        <v>55850</v>
      </c>
    </row>
    <row r="9" spans="1:5" x14ac:dyDescent="0.45">
      <c r="A9" s="1">
        <v>2107</v>
      </c>
      <c r="B9" s="1" t="s">
        <v>18</v>
      </c>
      <c r="C9" s="1" t="s">
        <v>17</v>
      </c>
      <c r="D9" s="1" t="s">
        <v>12</v>
      </c>
      <c r="E9" s="2">
        <v>62500</v>
      </c>
    </row>
    <row r="10" spans="1:5" x14ac:dyDescent="0.45">
      <c r="A10" s="1">
        <v>2208</v>
      </c>
      <c r="B10" s="1" t="s">
        <v>19</v>
      </c>
      <c r="C10" s="1" t="s">
        <v>17</v>
      </c>
      <c r="D10" s="1" t="s">
        <v>12</v>
      </c>
      <c r="E10" s="2">
        <v>56520</v>
      </c>
    </row>
    <row r="11" spans="1:5" x14ac:dyDescent="0.45">
      <c r="A11" s="1">
        <v>3321</v>
      </c>
      <c r="B11" s="1" t="s">
        <v>20</v>
      </c>
      <c r="C11" s="1" t="s">
        <v>21</v>
      </c>
      <c r="D11" s="1" t="s">
        <v>22</v>
      </c>
      <c r="E11" s="2">
        <v>58000</v>
      </c>
    </row>
    <row r="12" spans="1:5" x14ac:dyDescent="0.45">
      <c r="A12" s="1">
        <v>2210</v>
      </c>
      <c r="B12" s="1" t="s">
        <v>23</v>
      </c>
      <c r="C12" s="1" t="s">
        <v>21</v>
      </c>
      <c r="D12" s="1" t="s">
        <v>9</v>
      </c>
      <c r="E12" s="2">
        <v>64250</v>
      </c>
    </row>
    <row r="13" spans="1:5" x14ac:dyDescent="0.45">
      <c r="A13" s="1">
        <v>3115</v>
      </c>
      <c r="B13" s="1" t="s">
        <v>24</v>
      </c>
      <c r="C13" s="1" t="s">
        <v>21</v>
      </c>
      <c r="D13" s="1" t="s">
        <v>7</v>
      </c>
      <c r="E13" s="2">
        <v>35200</v>
      </c>
    </row>
    <row r="14" spans="1:5" x14ac:dyDescent="0.45">
      <c r="A14" s="1">
        <v>3322</v>
      </c>
      <c r="B14" s="1" t="s">
        <v>25</v>
      </c>
      <c r="C14" s="1" t="s">
        <v>21</v>
      </c>
      <c r="D14" s="1" t="s">
        <v>22</v>
      </c>
      <c r="E14" s="2">
        <v>45600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F84E6-E0C4-4A29-A388-1BABD512F509}">
  <dimension ref="A1:E14"/>
  <sheetViews>
    <sheetView workbookViewId="0">
      <selection activeCell="E14" sqref="E14"/>
    </sheetView>
  </sheetViews>
  <sheetFormatPr defaultRowHeight="17" x14ac:dyDescent="0.45"/>
  <sheetData>
    <row r="1" spans="1:5" x14ac:dyDescent="0.45">
      <c r="A1" t="s">
        <v>26</v>
      </c>
    </row>
    <row r="2" spans="1:5" x14ac:dyDescent="0.4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</row>
    <row r="3" spans="1:5" x14ac:dyDescent="0.45">
      <c r="A3" s="1">
        <v>3112</v>
      </c>
      <c r="B3" s="1" t="s">
        <v>5</v>
      </c>
      <c r="C3" s="1" t="s">
        <v>6</v>
      </c>
      <c r="D3" s="1" t="s">
        <v>7</v>
      </c>
      <c r="E3" s="2">
        <v>95620</v>
      </c>
    </row>
    <row r="4" spans="1:5" x14ac:dyDescent="0.45">
      <c r="A4" s="1">
        <v>2106</v>
      </c>
      <c r="B4" s="1" t="s">
        <v>8</v>
      </c>
      <c r="C4" s="1" t="s">
        <v>6</v>
      </c>
      <c r="D4" s="1" t="s">
        <v>9</v>
      </c>
      <c r="E4" s="2">
        <v>102500</v>
      </c>
    </row>
    <row r="5" spans="1:5" x14ac:dyDescent="0.45">
      <c r="A5" s="1">
        <v>4029</v>
      </c>
      <c r="B5" s="1" t="s">
        <v>10</v>
      </c>
      <c r="C5" s="1" t="s">
        <v>11</v>
      </c>
      <c r="D5" s="1" t="s">
        <v>12</v>
      </c>
      <c r="E5" s="2">
        <v>72533</v>
      </c>
    </row>
    <row r="6" spans="1:5" x14ac:dyDescent="0.45">
      <c r="A6" s="1">
        <v>1003</v>
      </c>
      <c r="B6" s="1" t="s">
        <v>13</v>
      </c>
      <c r="C6" s="1" t="s">
        <v>11</v>
      </c>
      <c r="D6" s="1" t="s">
        <v>12</v>
      </c>
      <c r="E6" s="2">
        <v>56800</v>
      </c>
    </row>
    <row r="7" spans="1:5" x14ac:dyDescent="0.45">
      <c r="A7" s="1">
        <v>3424</v>
      </c>
      <c r="B7" s="1" t="s">
        <v>14</v>
      </c>
      <c r="C7" s="1" t="s">
        <v>11</v>
      </c>
      <c r="D7" s="1" t="s">
        <v>15</v>
      </c>
      <c r="E7" s="2">
        <v>85110</v>
      </c>
    </row>
    <row r="8" spans="1:5" x14ac:dyDescent="0.45">
      <c r="A8" s="1">
        <v>2105</v>
      </c>
      <c r="B8" s="1" t="s">
        <v>16</v>
      </c>
      <c r="C8" s="1" t="s">
        <v>17</v>
      </c>
      <c r="D8" s="1" t="s">
        <v>9</v>
      </c>
      <c r="E8" s="2">
        <v>55850</v>
      </c>
    </row>
    <row r="9" spans="1:5" x14ac:dyDescent="0.45">
      <c r="A9" s="1">
        <v>2107</v>
      </c>
      <c r="B9" s="1" t="s">
        <v>18</v>
      </c>
      <c r="C9" s="1" t="s">
        <v>17</v>
      </c>
      <c r="D9" s="1" t="s">
        <v>12</v>
      </c>
      <c r="E9" s="2">
        <v>62500</v>
      </c>
    </row>
    <row r="10" spans="1:5" x14ac:dyDescent="0.45">
      <c r="A10" s="1">
        <v>2208</v>
      </c>
      <c r="B10" s="1" t="s">
        <v>19</v>
      </c>
      <c r="C10" s="1" t="s">
        <v>17</v>
      </c>
      <c r="D10" s="1" t="s">
        <v>12</v>
      </c>
      <c r="E10" s="2">
        <v>56520</v>
      </c>
    </row>
    <row r="11" spans="1:5" x14ac:dyDescent="0.45">
      <c r="A11" s="1">
        <v>3321</v>
      </c>
      <c r="B11" s="1" t="s">
        <v>20</v>
      </c>
      <c r="C11" s="1" t="s">
        <v>21</v>
      </c>
      <c r="D11" s="1" t="s">
        <v>22</v>
      </c>
      <c r="E11" s="2">
        <v>58000</v>
      </c>
    </row>
    <row r="12" spans="1:5" x14ac:dyDescent="0.45">
      <c r="A12" s="1">
        <v>2210</v>
      </c>
      <c r="B12" s="1" t="s">
        <v>23</v>
      </c>
      <c r="C12" s="1" t="s">
        <v>21</v>
      </c>
      <c r="D12" s="1" t="s">
        <v>9</v>
      </c>
      <c r="E12" s="2">
        <v>64250</v>
      </c>
    </row>
    <row r="13" spans="1:5" x14ac:dyDescent="0.45">
      <c r="A13" s="1">
        <v>3115</v>
      </c>
      <c r="B13" s="1" t="s">
        <v>24</v>
      </c>
      <c r="C13" s="1" t="s">
        <v>21</v>
      </c>
      <c r="D13" s="1" t="s">
        <v>7</v>
      </c>
      <c r="E13" s="2">
        <v>35200</v>
      </c>
    </row>
    <row r="14" spans="1:5" x14ac:dyDescent="0.45">
      <c r="A14" s="1">
        <v>3322</v>
      </c>
      <c r="B14" s="1" t="s">
        <v>25</v>
      </c>
      <c r="C14" s="1" t="s">
        <v>21</v>
      </c>
      <c r="D14" s="1" t="s">
        <v>22</v>
      </c>
      <c r="E14" s="2">
        <v>45600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4912D-99ED-43D7-944B-664483E048FC}">
  <sheetPr>
    <tabColor theme="7" tint="0.59999389629810485"/>
  </sheetPr>
  <dimension ref="A1:E16"/>
  <sheetViews>
    <sheetView workbookViewId="0">
      <selection activeCell="H12" sqref="H12"/>
    </sheetView>
  </sheetViews>
  <sheetFormatPr defaultRowHeight="17" x14ac:dyDescent="0.45"/>
  <cols>
    <col min="2" max="2" width="13" bestFit="1" customWidth="1"/>
    <col min="3" max="3" width="11" bestFit="1" customWidth="1"/>
    <col min="4" max="4" width="9.83203125" customWidth="1"/>
    <col min="5" max="5" width="15.08203125" bestFit="1" customWidth="1"/>
  </cols>
  <sheetData>
    <row r="1" spans="1:5" x14ac:dyDescent="0.45">
      <c r="A1" t="s">
        <v>26</v>
      </c>
    </row>
    <row r="2" spans="1:5" x14ac:dyDescent="0.45">
      <c r="A2" s="1" t="s">
        <v>1</v>
      </c>
      <c r="B2" s="1" t="s">
        <v>27</v>
      </c>
      <c r="C2" s="1" t="s">
        <v>28</v>
      </c>
      <c r="D2" s="1" t="s">
        <v>29</v>
      </c>
      <c r="E2" s="1" t="s">
        <v>30</v>
      </c>
    </row>
    <row r="3" spans="1:5" x14ac:dyDescent="0.45">
      <c r="A3" s="1" t="s">
        <v>31</v>
      </c>
      <c r="B3" s="1">
        <v>95</v>
      </c>
      <c r="C3" s="1">
        <v>85</v>
      </c>
      <c r="D3" s="1">
        <v>50</v>
      </c>
      <c r="E3" s="1">
        <v>70</v>
      </c>
    </row>
    <row r="4" spans="1:5" x14ac:dyDescent="0.45">
      <c r="A4" s="1" t="s">
        <v>32</v>
      </c>
      <c r="B4" s="1">
        <v>80</v>
      </c>
      <c r="C4" s="1">
        <v>83</v>
      </c>
      <c r="D4" s="1">
        <v>95</v>
      </c>
      <c r="E4" s="1">
        <v>24</v>
      </c>
    </row>
    <row r="5" spans="1:5" x14ac:dyDescent="0.45">
      <c r="A5" s="1" t="s">
        <v>33</v>
      </c>
      <c r="B5" s="1">
        <v>55</v>
      </c>
      <c r="C5" s="1">
        <v>88</v>
      </c>
      <c r="D5" s="1">
        <v>55</v>
      </c>
      <c r="E5" s="1">
        <v>95</v>
      </c>
    </row>
    <row r="6" spans="1:5" x14ac:dyDescent="0.45">
      <c r="A6" s="1" t="s">
        <v>34</v>
      </c>
      <c r="B6" s="1">
        <v>98</v>
      </c>
      <c r="C6" s="1">
        <v>95</v>
      </c>
      <c r="D6" s="1">
        <v>96</v>
      </c>
      <c r="E6" s="1">
        <v>100</v>
      </c>
    </row>
    <row r="7" spans="1:5" x14ac:dyDescent="0.45">
      <c r="A7" s="1" t="s">
        <v>35</v>
      </c>
      <c r="B7" s="1">
        <v>63</v>
      </c>
      <c r="C7" s="1">
        <v>89</v>
      </c>
      <c r="D7" s="1">
        <v>90</v>
      </c>
      <c r="E7" s="1">
        <v>54</v>
      </c>
    </row>
    <row r="8" spans="1:5" x14ac:dyDescent="0.45">
      <c r="A8" s="1" t="s">
        <v>36</v>
      </c>
      <c r="B8" s="1">
        <v>24</v>
      </c>
      <c r="C8" s="1">
        <v>90</v>
      </c>
      <c r="D8" s="1">
        <v>48</v>
      </c>
      <c r="E8" s="1">
        <v>69</v>
      </c>
    </row>
    <row r="9" spans="1:5" x14ac:dyDescent="0.45">
      <c r="A9" s="1" t="s">
        <v>37</v>
      </c>
      <c r="B9" s="1">
        <v>86</v>
      </c>
      <c r="C9" s="1">
        <v>75</v>
      </c>
      <c r="D9" s="1">
        <v>70</v>
      </c>
      <c r="E9" s="1">
        <v>75</v>
      </c>
    </row>
    <row r="10" spans="1:5" x14ac:dyDescent="0.45">
      <c r="A10" s="1" t="s">
        <v>38</v>
      </c>
      <c r="B10" s="1">
        <v>54</v>
      </c>
      <c r="C10" s="1">
        <v>50</v>
      </c>
      <c r="D10" s="1">
        <v>53</v>
      </c>
      <c r="E10" s="1">
        <v>90</v>
      </c>
    </row>
    <row r="11" spans="1:5" x14ac:dyDescent="0.45">
      <c r="A11" s="1" t="s">
        <v>39</v>
      </c>
      <c r="B11" s="1">
        <v>95</v>
      </c>
      <c r="C11" s="1">
        <v>98</v>
      </c>
      <c r="D11" s="1">
        <v>86</v>
      </c>
      <c r="E11" s="1">
        <v>100</v>
      </c>
    </row>
    <row r="12" spans="1:5" x14ac:dyDescent="0.45">
      <c r="A12" s="1" t="s">
        <v>40</v>
      </c>
      <c r="B12" s="1">
        <v>98</v>
      </c>
      <c r="C12" s="1">
        <v>86</v>
      </c>
      <c r="D12" s="1">
        <v>89</v>
      </c>
      <c r="E12" s="1">
        <v>89</v>
      </c>
    </row>
    <row r="13" spans="1:5" x14ac:dyDescent="0.45">
      <c r="A13" s="1" t="s">
        <v>41</v>
      </c>
      <c r="B13" s="1">
        <v>38</v>
      </c>
      <c r="C13" s="1">
        <v>75</v>
      </c>
      <c r="D13" s="1">
        <v>54</v>
      </c>
      <c r="E13" s="1">
        <v>94</v>
      </c>
    </row>
    <row r="14" spans="1:5" x14ac:dyDescent="0.45">
      <c r="A14" s="1" t="s">
        <v>42</v>
      </c>
      <c r="B14" s="1">
        <v>95</v>
      </c>
      <c r="C14" s="1">
        <v>95</v>
      </c>
      <c r="D14" s="1">
        <v>92</v>
      </c>
      <c r="E14" s="1">
        <v>66</v>
      </c>
    </row>
    <row r="15" spans="1:5" x14ac:dyDescent="0.45">
      <c r="A15" s="1" t="s">
        <v>43</v>
      </c>
      <c r="B15" s="1">
        <v>75</v>
      </c>
      <c r="C15" s="1">
        <v>89</v>
      </c>
      <c r="D15" s="1">
        <v>98</v>
      </c>
      <c r="E15" s="1">
        <v>63</v>
      </c>
    </row>
    <row r="16" spans="1:5" x14ac:dyDescent="0.45">
      <c r="A16" s="1" t="s">
        <v>44</v>
      </c>
      <c r="B16" s="1">
        <v>54</v>
      </c>
      <c r="C16" s="1">
        <v>55</v>
      </c>
      <c r="D16" s="1">
        <v>69</v>
      </c>
      <c r="E16" s="1">
        <v>90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2E506-232A-439C-A796-4465B0D7050E}">
  <sheetPr>
    <tabColor theme="7" tint="0.59999389629810485"/>
  </sheetPr>
  <dimension ref="A1:F30"/>
  <sheetViews>
    <sheetView workbookViewId="0">
      <selection activeCell="H12" sqref="H12"/>
    </sheetView>
  </sheetViews>
  <sheetFormatPr defaultRowHeight="17" x14ac:dyDescent="0.45"/>
  <cols>
    <col min="2" max="2" width="7.33203125" customWidth="1"/>
    <col min="3" max="3" width="11.08203125" bestFit="1" customWidth="1"/>
    <col min="4" max="4" width="6.5" customWidth="1"/>
    <col min="5" max="5" width="11" bestFit="1" customWidth="1"/>
  </cols>
  <sheetData>
    <row r="1" spans="1:6" x14ac:dyDescent="0.45">
      <c r="A1" t="s">
        <v>26</v>
      </c>
    </row>
    <row r="2" spans="1:6" x14ac:dyDescent="0.45">
      <c r="A2" s="3" t="s">
        <v>45</v>
      </c>
      <c r="B2" s="3" t="s">
        <v>46</v>
      </c>
      <c r="C2" s="3" t="s">
        <v>47</v>
      </c>
      <c r="D2" s="3" t="s">
        <v>48</v>
      </c>
      <c r="E2" s="3" t="s">
        <v>49</v>
      </c>
      <c r="F2" s="3" t="s">
        <v>50</v>
      </c>
    </row>
    <row r="3" spans="1:6" x14ac:dyDescent="0.45">
      <c r="A3" s="3" t="s">
        <v>51</v>
      </c>
      <c r="B3" s="3" t="s">
        <v>52</v>
      </c>
      <c r="C3" s="4">
        <v>31900</v>
      </c>
      <c r="D3" s="3" t="s">
        <v>53</v>
      </c>
      <c r="E3" s="3" t="s">
        <v>54</v>
      </c>
      <c r="F3" s="3" t="s">
        <v>55</v>
      </c>
    </row>
    <row r="4" spans="1:6" x14ac:dyDescent="0.45">
      <c r="A4" s="3" t="s">
        <v>56</v>
      </c>
      <c r="B4" s="3" t="s">
        <v>57</v>
      </c>
      <c r="C4" s="4">
        <v>32234</v>
      </c>
      <c r="D4" s="3" t="s">
        <v>58</v>
      </c>
      <c r="E4" s="3" t="s">
        <v>59</v>
      </c>
      <c r="F4" s="3" t="s">
        <v>60</v>
      </c>
    </row>
    <row r="5" spans="1:6" x14ac:dyDescent="0.45">
      <c r="A5" s="3" t="s">
        <v>61</v>
      </c>
      <c r="B5" s="3" t="s">
        <v>62</v>
      </c>
      <c r="C5" s="4">
        <v>31386</v>
      </c>
      <c r="D5" s="3" t="s">
        <v>53</v>
      </c>
      <c r="E5" s="3" t="s">
        <v>63</v>
      </c>
      <c r="F5" s="3" t="s">
        <v>64</v>
      </c>
    </row>
    <row r="6" spans="1:6" x14ac:dyDescent="0.45">
      <c r="A6" s="3" t="s">
        <v>65</v>
      </c>
      <c r="B6" s="3" t="s">
        <v>66</v>
      </c>
      <c r="C6" s="4">
        <v>27520</v>
      </c>
      <c r="D6" s="3" t="s">
        <v>58</v>
      </c>
      <c r="E6" s="3" t="s">
        <v>67</v>
      </c>
      <c r="F6" s="3" t="s">
        <v>68</v>
      </c>
    </row>
    <row r="7" spans="1:6" x14ac:dyDescent="0.45">
      <c r="A7" s="3" t="s">
        <v>69</v>
      </c>
      <c r="B7" s="3" t="s">
        <v>70</v>
      </c>
      <c r="C7" s="4">
        <v>38114</v>
      </c>
      <c r="D7" s="3" t="s">
        <v>58</v>
      </c>
      <c r="E7" s="3" t="s">
        <v>59</v>
      </c>
      <c r="F7" s="3" t="s">
        <v>60</v>
      </c>
    </row>
    <row r="8" spans="1:6" x14ac:dyDescent="0.45">
      <c r="A8" s="3" t="s">
        <v>71</v>
      </c>
      <c r="B8" s="3" t="s">
        <v>72</v>
      </c>
      <c r="C8" s="4">
        <v>27522</v>
      </c>
      <c r="D8" s="3" t="s">
        <v>58</v>
      </c>
      <c r="E8" s="3" t="s">
        <v>73</v>
      </c>
      <c r="F8" s="3" t="s">
        <v>74</v>
      </c>
    </row>
    <row r="9" spans="1:6" x14ac:dyDescent="0.45">
      <c r="A9" s="3" t="s">
        <v>75</v>
      </c>
      <c r="B9" s="3" t="s">
        <v>76</v>
      </c>
      <c r="C9" s="4">
        <v>21282</v>
      </c>
      <c r="D9" s="3" t="s">
        <v>58</v>
      </c>
      <c r="E9" s="3" t="s">
        <v>63</v>
      </c>
      <c r="F9" s="3" t="s">
        <v>64</v>
      </c>
    </row>
    <row r="10" spans="1:6" x14ac:dyDescent="0.45">
      <c r="A10" s="3" t="s">
        <v>77</v>
      </c>
      <c r="B10" s="3" t="s">
        <v>78</v>
      </c>
      <c r="C10" s="4">
        <v>29313</v>
      </c>
      <c r="D10" s="3" t="s">
        <v>53</v>
      </c>
      <c r="E10" s="3" t="s">
        <v>59</v>
      </c>
      <c r="F10" s="3" t="s">
        <v>60</v>
      </c>
    </row>
    <row r="11" spans="1:6" x14ac:dyDescent="0.45">
      <c r="A11" s="3" t="s">
        <v>79</v>
      </c>
      <c r="B11" s="3" t="s">
        <v>80</v>
      </c>
      <c r="C11" s="4">
        <v>36833</v>
      </c>
      <c r="D11" s="3" t="s">
        <v>58</v>
      </c>
      <c r="E11" s="3" t="s">
        <v>63</v>
      </c>
      <c r="F11" s="3" t="s">
        <v>64</v>
      </c>
    </row>
    <row r="12" spans="1:6" x14ac:dyDescent="0.45">
      <c r="A12" s="3" t="s">
        <v>81</v>
      </c>
      <c r="B12" s="3" t="s">
        <v>82</v>
      </c>
      <c r="C12" s="4">
        <v>34833</v>
      </c>
      <c r="D12" s="3" t="s">
        <v>58</v>
      </c>
      <c r="E12" s="3" t="s">
        <v>83</v>
      </c>
      <c r="F12" s="3" t="s">
        <v>84</v>
      </c>
    </row>
    <row r="13" spans="1:6" x14ac:dyDescent="0.45">
      <c r="A13" s="3" t="s">
        <v>85</v>
      </c>
      <c r="B13" s="3" t="s">
        <v>86</v>
      </c>
      <c r="C13" s="4">
        <v>17811</v>
      </c>
      <c r="D13" s="3" t="s">
        <v>53</v>
      </c>
      <c r="E13" s="3" t="s">
        <v>73</v>
      </c>
      <c r="F13" s="3" t="s">
        <v>74</v>
      </c>
    </row>
    <row r="14" spans="1:6" x14ac:dyDescent="0.45">
      <c r="A14" s="3" t="s">
        <v>87</v>
      </c>
      <c r="B14" s="3" t="s">
        <v>88</v>
      </c>
      <c r="C14" s="4">
        <v>34607</v>
      </c>
      <c r="D14" s="3" t="s">
        <v>53</v>
      </c>
      <c r="E14" s="3" t="s">
        <v>54</v>
      </c>
      <c r="F14" s="3" t="s">
        <v>55</v>
      </c>
    </row>
    <row r="15" spans="1:6" x14ac:dyDescent="0.45">
      <c r="A15" s="3" t="s">
        <v>89</v>
      </c>
      <c r="B15" s="3" t="s">
        <v>90</v>
      </c>
      <c r="C15" s="4">
        <v>19541</v>
      </c>
      <c r="D15" s="3" t="s">
        <v>58</v>
      </c>
      <c r="E15" s="3" t="s">
        <v>91</v>
      </c>
      <c r="F15" s="3" t="s">
        <v>92</v>
      </c>
    </row>
    <row r="16" spans="1:6" x14ac:dyDescent="0.45">
      <c r="A16" s="3" t="s">
        <v>93</v>
      </c>
      <c r="B16" s="3" t="s">
        <v>94</v>
      </c>
      <c r="C16" s="4">
        <v>36962</v>
      </c>
      <c r="D16" s="3" t="s">
        <v>53</v>
      </c>
      <c r="E16" s="3" t="s">
        <v>95</v>
      </c>
      <c r="F16" s="3" t="s">
        <v>96</v>
      </c>
    </row>
    <row r="17" spans="1:6" x14ac:dyDescent="0.45">
      <c r="A17" s="3" t="s">
        <v>97</v>
      </c>
      <c r="B17" s="3" t="s">
        <v>98</v>
      </c>
      <c r="C17" s="4">
        <v>32267</v>
      </c>
      <c r="D17" s="3" t="s">
        <v>53</v>
      </c>
      <c r="E17" s="3" t="s">
        <v>59</v>
      </c>
      <c r="F17" s="3" t="s">
        <v>60</v>
      </c>
    </row>
    <row r="18" spans="1:6" x14ac:dyDescent="0.45">
      <c r="A18" s="3" t="s">
        <v>99</v>
      </c>
      <c r="B18" s="3" t="s">
        <v>100</v>
      </c>
      <c r="C18" s="4">
        <v>26819</v>
      </c>
      <c r="D18" s="3" t="s">
        <v>58</v>
      </c>
      <c r="E18" s="3" t="s">
        <v>63</v>
      </c>
      <c r="F18" s="3" t="s">
        <v>64</v>
      </c>
    </row>
    <row r="19" spans="1:6" x14ac:dyDescent="0.45">
      <c r="A19" s="3" t="s">
        <v>101</v>
      </c>
      <c r="B19" s="3" t="s">
        <v>102</v>
      </c>
      <c r="C19" s="4">
        <v>34097</v>
      </c>
      <c r="D19" s="3" t="s">
        <v>53</v>
      </c>
      <c r="E19" s="3" t="s">
        <v>95</v>
      </c>
      <c r="F19" s="3" t="s">
        <v>96</v>
      </c>
    </row>
    <row r="20" spans="1:6" x14ac:dyDescent="0.45">
      <c r="A20" s="3" t="s">
        <v>103</v>
      </c>
      <c r="B20" s="3" t="s">
        <v>104</v>
      </c>
      <c r="C20" s="4">
        <v>37020</v>
      </c>
      <c r="D20" s="3" t="s">
        <v>53</v>
      </c>
      <c r="E20" s="3" t="s">
        <v>91</v>
      </c>
      <c r="F20" s="3" t="s">
        <v>92</v>
      </c>
    </row>
    <row r="21" spans="1:6" x14ac:dyDescent="0.45">
      <c r="A21" s="3" t="s">
        <v>105</v>
      </c>
      <c r="B21" s="3" t="s">
        <v>106</v>
      </c>
      <c r="C21" s="4">
        <v>28589</v>
      </c>
      <c r="D21" s="3" t="s">
        <v>58</v>
      </c>
      <c r="E21" s="3" t="s">
        <v>54</v>
      </c>
      <c r="F21" s="3" t="s">
        <v>55</v>
      </c>
    </row>
    <row r="22" spans="1:6" x14ac:dyDescent="0.45">
      <c r="A22" s="3" t="s">
        <v>107</v>
      </c>
      <c r="B22" s="3" t="s">
        <v>108</v>
      </c>
      <c r="C22" s="4">
        <v>21801</v>
      </c>
      <c r="D22" s="3" t="s">
        <v>53</v>
      </c>
      <c r="E22" s="3" t="s">
        <v>67</v>
      </c>
      <c r="F22" s="3" t="s">
        <v>68</v>
      </c>
    </row>
    <row r="23" spans="1:6" x14ac:dyDescent="0.45">
      <c r="A23" s="3" t="s">
        <v>109</v>
      </c>
      <c r="B23" s="3" t="s">
        <v>110</v>
      </c>
      <c r="C23" s="4">
        <v>36042</v>
      </c>
      <c r="D23" s="3" t="s">
        <v>53</v>
      </c>
      <c r="E23" s="3" t="s">
        <v>95</v>
      </c>
      <c r="F23" s="3" t="s">
        <v>96</v>
      </c>
    </row>
    <row r="24" spans="1:6" x14ac:dyDescent="0.45">
      <c r="A24" s="3" t="s">
        <v>111</v>
      </c>
      <c r="B24" s="3" t="s">
        <v>112</v>
      </c>
      <c r="C24" s="4">
        <v>19036</v>
      </c>
      <c r="D24" s="3" t="s">
        <v>58</v>
      </c>
      <c r="E24" s="3" t="s">
        <v>67</v>
      </c>
      <c r="F24" s="3" t="s">
        <v>68</v>
      </c>
    </row>
    <row r="25" spans="1:6" x14ac:dyDescent="0.45">
      <c r="A25" s="3" t="s">
        <v>113</v>
      </c>
      <c r="B25" s="3" t="s">
        <v>114</v>
      </c>
      <c r="C25" s="4">
        <v>36388</v>
      </c>
      <c r="D25" s="3" t="s">
        <v>58</v>
      </c>
      <c r="E25" s="3" t="s">
        <v>73</v>
      </c>
      <c r="F25" s="3" t="s">
        <v>74</v>
      </c>
    </row>
    <row r="26" spans="1:6" x14ac:dyDescent="0.45">
      <c r="A26" s="3" t="s">
        <v>115</v>
      </c>
      <c r="B26" s="3" t="s">
        <v>116</v>
      </c>
      <c r="C26" s="4">
        <v>38679</v>
      </c>
      <c r="D26" s="3" t="s">
        <v>58</v>
      </c>
      <c r="E26" s="3" t="s">
        <v>83</v>
      </c>
      <c r="F26" s="3" t="s">
        <v>84</v>
      </c>
    </row>
    <row r="27" spans="1:6" x14ac:dyDescent="0.45">
      <c r="A27" s="3" t="s">
        <v>117</v>
      </c>
      <c r="B27" s="3" t="s">
        <v>118</v>
      </c>
      <c r="C27" s="4">
        <v>27266</v>
      </c>
      <c r="D27" s="3" t="s">
        <v>58</v>
      </c>
      <c r="E27" s="3" t="s">
        <v>91</v>
      </c>
      <c r="F27" s="3" t="s">
        <v>92</v>
      </c>
    </row>
    <row r="28" spans="1:6" x14ac:dyDescent="0.45">
      <c r="A28" s="3" t="s">
        <v>119</v>
      </c>
      <c r="B28" s="3" t="s">
        <v>120</v>
      </c>
      <c r="C28" s="4">
        <v>15912</v>
      </c>
      <c r="D28" s="3" t="s">
        <v>58</v>
      </c>
      <c r="E28" s="3" t="s">
        <v>63</v>
      </c>
      <c r="F28" s="3" t="s">
        <v>64</v>
      </c>
    </row>
    <row r="29" spans="1:6" x14ac:dyDescent="0.45">
      <c r="A29" s="3" t="s">
        <v>121</v>
      </c>
      <c r="B29" s="3" t="s">
        <v>122</v>
      </c>
      <c r="C29" s="4">
        <v>31758</v>
      </c>
      <c r="D29" s="3" t="s">
        <v>53</v>
      </c>
      <c r="E29" s="3" t="s">
        <v>95</v>
      </c>
      <c r="F29" s="3" t="s">
        <v>96</v>
      </c>
    </row>
    <row r="30" spans="1:6" x14ac:dyDescent="0.45">
      <c r="A30" s="3" t="s">
        <v>123</v>
      </c>
      <c r="B30" s="3" t="s">
        <v>124</v>
      </c>
      <c r="C30" s="4">
        <v>28352</v>
      </c>
      <c r="D30" s="3" t="s">
        <v>58</v>
      </c>
      <c r="E30" s="3" t="s">
        <v>83</v>
      </c>
      <c r="F30" s="3" t="s">
        <v>84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1E610-8779-48A1-9BF7-A7D699473242}">
  <sheetPr>
    <tabColor theme="7" tint="0.59999389629810485"/>
  </sheetPr>
  <dimension ref="A1:H12"/>
  <sheetViews>
    <sheetView workbookViewId="0">
      <selection activeCell="H12" sqref="H12"/>
    </sheetView>
  </sheetViews>
  <sheetFormatPr defaultRowHeight="17" x14ac:dyDescent="0.45"/>
  <cols>
    <col min="2" max="2" width="11" bestFit="1" customWidth="1"/>
  </cols>
  <sheetData>
    <row r="1" spans="1:8" x14ac:dyDescent="0.45">
      <c r="A1" t="s">
        <v>26</v>
      </c>
    </row>
    <row r="2" spans="1:8" x14ac:dyDescent="0.45">
      <c r="A2" s="1" t="s">
        <v>46</v>
      </c>
      <c r="B2" s="1" t="s">
        <v>125</v>
      </c>
      <c r="C2" s="1" t="s">
        <v>2</v>
      </c>
      <c r="D2" s="1" t="s">
        <v>126</v>
      </c>
      <c r="E2" s="1" t="s">
        <v>127</v>
      </c>
      <c r="F2" s="1" t="s">
        <v>128</v>
      </c>
      <c r="G2" s="1" t="s">
        <v>129</v>
      </c>
      <c r="H2" s="1" t="s">
        <v>130</v>
      </c>
    </row>
    <row r="3" spans="1:8" x14ac:dyDescent="0.45">
      <c r="A3" s="1" t="s">
        <v>131</v>
      </c>
      <c r="B3" s="1" t="s">
        <v>132</v>
      </c>
      <c r="C3" s="1" t="s">
        <v>6</v>
      </c>
      <c r="D3" s="1">
        <v>25</v>
      </c>
      <c r="E3" s="5">
        <v>2800</v>
      </c>
      <c r="F3" s="5">
        <f>E3*400%</f>
        <v>11200</v>
      </c>
      <c r="G3" s="5">
        <f>IF(D3&gt;=30, E3*100%, IF(D3&gt;=20, E3*50%, E3*20%))</f>
        <v>1400</v>
      </c>
      <c r="H3" s="5">
        <f>D3*E3+F3+G3</f>
        <v>82600</v>
      </c>
    </row>
    <row r="4" spans="1:8" x14ac:dyDescent="0.45">
      <c r="A4" s="1" t="s">
        <v>133</v>
      </c>
      <c r="B4" s="1" t="s">
        <v>132</v>
      </c>
      <c r="C4" s="1" t="s">
        <v>11</v>
      </c>
      <c r="D4" s="1">
        <v>12</v>
      </c>
      <c r="E4" s="5">
        <v>2000</v>
      </c>
      <c r="F4" s="5">
        <f>E4*400%</f>
        <v>8000</v>
      </c>
      <c r="G4" s="5">
        <f>IF(D4&gt;=30, E4*100%, IF(D4&gt;=20, E4*50%, E4*20%))</f>
        <v>400</v>
      </c>
      <c r="H4" s="5">
        <f>D4*E4+F4+G4</f>
        <v>32400</v>
      </c>
    </row>
    <row r="5" spans="1:8" x14ac:dyDescent="0.45">
      <c r="A5" s="1" t="s">
        <v>134</v>
      </c>
      <c r="B5" s="1" t="s">
        <v>135</v>
      </c>
      <c r="C5" s="1" t="s">
        <v>6</v>
      </c>
      <c r="D5" s="1">
        <v>21</v>
      </c>
      <c r="E5" s="5">
        <v>2800</v>
      </c>
      <c r="F5" s="5">
        <f>E5*400%</f>
        <v>11200</v>
      </c>
      <c r="G5" s="5">
        <f>IF(D5&gt;=30, E5*100%, IF(D5&gt;=20, E5*50%, E5*20%))</f>
        <v>1400</v>
      </c>
      <c r="H5" s="5">
        <f>D5*E5+F5+G5</f>
        <v>71400</v>
      </c>
    </row>
    <row r="6" spans="1:8" x14ac:dyDescent="0.45">
      <c r="A6" s="1" t="s">
        <v>136</v>
      </c>
      <c r="B6" s="1" t="s">
        <v>137</v>
      </c>
      <c r="C6" s="1" t="s">
        <v>138</v>
      </c>
      <c r="D6" s="1">
        <v>25</v>
      </c>
      <c r="E6" s="5">
        <v>2500</v>
      </c>
      <c r="F6" s="5">
        <f>E6*400%</f>
        <v>10000</v>
      </c>
      <c r="G6" s="5">
        <f>IF(D6&gt;=30, E6*100%, IF(D6&gt;=20, E6*50%, E6*20%))</f>
        <v>1250</v>
      </c>
      <c r="H6" s="5">
        <f>D6*E6+F6+G6</f>
        <v>73750</v>
      </c>
    </row>
    <row r="7" spans="1:8" x14ac:dyDescent="0.45">
      <c r="A7" s="1" t="s">
        <v>14</v>
      </c>
      <c r="B7" s="1" t="s">
        <v>137</v>
      </c>
      <c r="C7" s="1" t="s">
        <v>17</v>
      </c>
      <c r="D7" s="1">
        <v>9</v>
      </c>
      <c r="E7" s="5">
        <v>1800</v>
      </c>
      <c r="F7" s="5">
        <f>E7*400%</f>
        <v>7200</v>
      </c>
      <c r="G7" s="5">
        <f>IF(D7&gt;=30, E7*100%, IF(D7&gt;=20, E7*50%, E7*20%))</f>
        <v>360</v>
      </c>
      <c r="H7" s="5">
        <f>D7*E7+F7+G7</f>
        <v>23760</v>
      </c>
    </row>
    <row r="8" spans="1:8" x14ac:dyDescent="0.45">
      <c r="A8" s="1" t="s">
        <v>139</v>
      </c>
      <c r="B8" s="1" t="s">
        <v>132</v>
      </c>
      <c r="C8" s="1" t="s">
        <v>11</v>
      </c>
      <c r="D8" s="1">
        <v>18</v>
      </c>
      <c r="E8" s="5">
        <v>2000</v>
      </c>
      <c r="F8" s="5">
        <f>E8*400%</f>
        <v>8000</v>
      </c>
      <c r="G8" s="5">
        <f>IF(D8&gt;=30, E8*100%, IF(D8&gt;=20, E8*50%, E8*20%))</f>
        <v>400</v>
      </c>
      <c r="H8" s="5">
        <f>D8*E8+F8+G8</f>
        <v>44400</v>
      </c>
    </row>
    <row r="9" spans="1:8" x14ac:dyDescent="0.45">
      <c r="A9" s="1" t="s">
        <v>23</v>
      </c>
      <c r="B9" s="1" t="s">
        <v>132</v>
      </c>
      <c r="C9" s="1" t="s">
        <v>138</v>
      </c>
      <c r="D9" s="1">
        <v>22</v>
      </c>
      <c r="E9" s="5">
        <v>2500</v>
      </c>
      <c r="F9" s="5">
        <f>E9*400%</f>
        <v>10000</v>
      </c>
      <c r="G9" s="5">
        <f>IF(D9&gt;=30, E9*100%, IF(D9&gt;=20, E9*50%, E9*20%))</f>
        <v>1250</v>
      </c>
      <c r="H9" s="5">
        <f>D9*E9+F9+G9</f>
        <v>66250</v>
      </c>
    </row>
    <row r="10" spans="1:8" x14ac:dyDescent="0.45">
      <c r="A10" s="1" t="s">
        <v>140</v>
      </c>
      <c r="B10" s="1" t="s">
        <v>135</v>
      </c>
      <c r="C10" s="1" t="s">
        <v>17</v>
      </c>
      <c r="D10" s="1">
        <v>14</v>
      </c>
      <c r="E10" s="5">
        <v>1800</v>
      </c>
      <c r="F10" s="5">
        <f>E10*400%</f>
        <v>7200</v>
      </c>
      <c r="G10" s="5">
        <f>IF(D10&gt;=30, E10*100%, IF(D10&gt;=20, E10*50%, E10*20%))</f>
        <v>360</v>
      </c>
      <c r="H10" s="5">
        <f>D10*E10+F10+G10</f>
        <v>32760</v>
      </c>
    </row>
    <row r="11" spans="1:8" x14ac:dyDescent="0.45">
      <c r="A11" s="1" t="s">
        <v>8</v>
      </c>
      <c r="B11" s="1" t="s">
        <v>132</v>
      </c>
      <c r="C11" s="1" t="s">
        <v>17</v>
      </c>
      <c r="D11" s="1">
        <v>7</v>
      </c>
      <c r="E11" s="5">
        <v>1800</v>
      </c>
      <c r="F11" s="5">
        <f>E11*400%</f>
        <v>7200</v>
      </c>
      <c r="G11" s="5">
        <f>IF(D11&gt;=30, E11*100%, IF(D11&gt;=20, E11*50%, E11*20%))</f>
        <v>360</v>
      </c>
      <c r="H11" s="5">
        <f>D11*E11+F11+G11</f>
        <v>20160</v>
      </c>
    </row>
    <row r="12" spans="1:8" x14ac:dyDescent="0.45">
      <c r="A12" s="1" t="s">
        <v>16</v>
      </c>
      <c r="B12" s="1" t="s">
        <v>137</v>
      </c>
      <c r="C12" s="1" t="s">
        <v>17</v>
      </c>
      <c r="D12" s="1">
        <v>7</v>
      </c>
      <c r="E12" s="5">
        <v>1800</v>
      </c>
      <c r="F12" s="5">
        <f>E12*400%</f>
        <v>7200</v>
      </c>
      <c r="G12" s="5">
        <f>IF(D12&gt;=30, E12*100%, IF(D12&gt;=20, E12*50%, E12*20%))</f>
        <v>360</v>
      </c>
      <c r="H12" s="5">
        <f>D12*E12+F12+G12</f>
        <v>20160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합격포인트_01-유형1</vt:lpstr>
      <vt:lpstr>01-유형2</vt:lpstr>
      <vt:lpstr>02</vt:lpstr>
      <vt:lpstr>대표기출문제_기출1</vt:lpstr>
      <vt:lpstr>기출2</vt:lpstr>
      <vt:lpstr>기출3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2023-07-14T09:24:33Z</dcterms:created>
  <dcterms:modified xsi:type="dcterms:W3CDTF">2023-07-14T09:33:29Z</dcterms:modified>
</cp:coreProperties>
</file>