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1.xml" ContentType="application/vnd.openxmlformats-officedocument.spreadsheetml.table+xml"/>
  <Override PartName="/xl/pivotTables/pivotTable18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CD1FECC4-8BCF-4FC1-A907-DC8FA4B63C86}" xr6:coauthVersionLast="47" xr6:coauthVersionMax="47" xr10:uidLastSave="{00000000-0000-0000-0000-000000000000}"/>
  <bookViews>
    <workbookView xWindow="28680" yWindow="-120" windowWidth="29040" windowHeight="17640" tabRatio="918" xr2:uid="{789916EF-910B-4581-9B66-13DEB8513E6C}"/>
  </bookViews>
  <sheets>
    <sheet name="합격포인트_01-유형1" sheetId="1" r:id="rId1"/>
    <sheet name="01-유형2" sheetId="2" r:id="rId2"/>
    <sheet name="02" sheetId="3" r:id="rId3"/>
    <sheet name="03" sheetId="4" r:id="rId4"/>
    <sheet name="04" sheetId="5" r:id="rId5"/>
    <sheet name="05" sheetId="6" r:id="rId6"/>
    <sheet name="06-유형1" sheetId="7" r:id="rId7"/>
    <sheet name="06-유형2" sheetId="8" r:id="rId8"/>
    <sheet name="07" sheetId="9" r:id="rId9"/>
    <sheet name="08-유형1" sheetId="10" r:id="rId10"/>
    <sheet name="08-유형2" sheetId="11" r:id="rId11"/>
    <sheet name="09" sheetId="13" r:id="rId12"/>
    <sheet name="10" sheetId="12" r:id="rId13"/>
    <sheet name="대표기출문제_기출1" sheetId="14" r:id="rId14"/>
    <sheet name="기출2" sheetId="15" r:id="rId15"/>
    <sheet name="기출3" sheetId="16" r:id="rId16"/>
    <sheet name="기출4" sheetId="17" r:id="rId17"/>
    <sheet name="광자통신연구원" sheetId="19" r:id="rId18"/>
    <sheet name="기출5" sheetId="18" r:id="rId19"/>
  </sheets>
  <calcPr calcId="191029"/>
  <pivotCaches>
    <pivotCache cacheId="12" r:id="rId20"/>
    <pivotCache cacheId="1" r:id="rId21"/>
    <pivotCache cacheId="2" r:id="rId22"/>
    <pivotCache cacheId="3" r:id="rId23"/>
    <pivotCache cacheId="4" r:id="rId24"/>
    <pivotCache cacheId="5" r:id="rId25"/>
    <pivotCache cacheId="6" r:id="rId26"/>
    <pivotCache cacheId="7" r:id="rId27"/>
    <pivotCache cacheId="8" r:id="rId2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재배현황01" name="재배현황01" connection="재배현황01"/>
          <x15:modelTable id="자격수당" name="자격수당" connection="자격수당"/>
          <x15:modelTable id="대여현황" name="대여현황" connection="대여현황"/>
        </x15:modelTables>
        <x15:extLst>
          <ext xmlns:x16="http://schemas.microsoft.com/office/spreadsheetml/2014/11/main" uri="{9835A34E-60A6-4A7C-AAB8-D5F71C897F49}">
            <x16:modelTimeGroupings>
              <x16:modelTimeGrouping tableName="자격수당" columnName="정년날짜" columnId="정년날짜">
                <x16:calculatedTimeColumn columnName="정년날짜(연도)" columnId="정년날짜(연도)" contentType="years" isSelected="0"/>
                <x16:calculatedTimeColumn columnName="정년날짜(분기)" columnId="정년날짜(분기)" contentType="quarters" isSelected="0"/>
                <x16:calculatedTimeColumn columnName="정년날짜(월 인덱스)" columnId="정년날짜(월 인덱스)" contentType="monthsindex" isSelected="1"/>
                <x16:calculatedTimeColumn columnName="정년날짜(월)" columnId="정년날짜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B377F6-83D8-4A16-8DA7-D0862CFB9E0E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724B12F-307B-4162-8DCC-28ACAE4F989B}" name="대여현황" type="103" refreshedVersion="7" minRefreshableVersion="5">
    <extLst>
      <ext xmlns:x15="http://schemas.microsoft.com/office/spreadsheetml/2010/11/main" uri="{DE250136-89BD-433C-8126-D09CA5730AF9}">
        <x15:connection id="대여현황" autoDelete="1">
          <x15:textPr prompt="0" codePage="949" sourceFile="C:\길벗컴활1급총정리\엑셀\기능\대여현황.txt" tab="0" comma="1" delimiter="/">
            <textFields count="6">
              <textField type="skip"/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3" xr16:uid="{62D2D297-D323-4E41-99C0-4A645A5C0339}" sourceFile="C:\길벗컴활1급총정리\엑셀\기능\연구직평가표.accdb" keepAlive="1" name="연구직평가표" type="5" refreshedVersion="7" background="1">
    <dbPr connection="Provider=Microsoft.ACE.OLEDB.12.0;User ID=Admin;Data Source=C:\길벗컴활1급총정리\엑셀\기능\연구직평가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평가내역" commandType="3"/>
  </connection>
  <connection id="4" xr16:uid="{2059641F-83BE-43C5-9D3A-F48297205C37}" sourceFile="C:\길벗컴활1급총정리\엑셀\기능\원자재통관.accdb" keepAlive="1" name="원자재통관" type="5" refreshedVersion="7" background="1">
    <dbPr connection="Provider=Microsoft.ACE.OLEDB.12.0;User ID=Admin;Data Source=C:\길벗컴활1급총정리\엑셀\기능\원자재통관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원자재" commandType="3"/>
  </connection>
  <connection id="5" xr16:uid="{A6C3D766-533E-4A38-9317-9CA37ECCEE4B}" name="자격수당" type="103" refreshedVersion="7" minRefreshableVersion="5">
    <extLst>
      <ext xmlns:x15="http://schemas.microsoft.com/office/spreadsheetml/2010/11/main" uri="{DE250136-89BD-433C-8126-D09CA5730AF9}">
        <x15:connection id="자격수당" autoDelete="1">
          <x15:textPr prompt="0" codePage="949" sourceFile="C:\길벗컴활1급총정리\엑셀\기능\자격수당.csv" tab="0" comma="1">
            <textFields count="6">
              <textField type="skip"/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6" xr16:uid="{B1598B12-09E6-4E0E-9989-8D8EEBBA26D6}" sourceFile="C:\길벗컴활1급총정리\엑셀\기능\자재판매현황.xlsx" keepAlive="1" name="자재판매현황" type="5" refreshedVersion="7" background="1">
    <dbPr connection="Provider=Microsoft.ACE.OLEDB.12.0;User ID=Admin;Data Source=C:\길벗컴활1급총정리\엑셀\기능\자재판매현황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5월$'" commandType="3"/>
  </connection>
  <connection id="7" xr16:uid="{A049AA18-15F9-47E5-A1EF-F39114699383}" name="재배현황01" type="103" refreshedVersion="7" minRefreshableVersion="5">
    <extLst>
      <ext xmlns:x15="http://schemas.microsoft.com/office/spreadsheetml/2010/11/main" uri="{DE250136-89BD-433C-8126-D09CA5730AF9}">
        <x15:connection id="재배현황01" autoDelete="1">
          <x15:textPr prompt="0" codePage="949" sourceFile="C:\길벗컴활1급총정리\엑셀\기능\재배현황01.csv" tab="0" comma="1">
            <textFields count="8">
              <textField/>
              <textField/>
              <textField/>
              <textField/>
              <textField/>
              <textField/>
              <textField type="skip"/>
              <textField/>
            </textFields>
          </x15:textPr>
          <x15:modelTextPr headers="1"/>
        </x15:connection>
      </ext>
    </extLst>
  </connection>
  <connection id="8" xr16:uid="{685A0F7D-7B07-4628-9E12-D9D5357034E8}" sourceFile="F:\2021\총정리 실습파일\엑셀\기능\재배현황02.accdb" keepAlive="1" name="재배현황02" type="5" refreshedVersion="8" background="1">
    <dbPr connection="Provider=Microsoft.ACE.OLEDB.12.0;User ID=Admin;Data Source=F:\2021\총정리 실습파일\엑셀\기능\재배현황02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농작물" commandType="3"/>
  </connection>
  <connection id="9" xr16:uid="{8BD95AF9-88CA-4500-80A7-9E2B398C284F}" sourceFile="C:\길벗컴활1급총정리\엑셀\기능\재배현황02.accdb" keepAlive="1" name="재배현황021" type="5" refreshedVersion="7" background="1">
    <dbPr connection="Provider=Microsoft.ACE.OLEDB.12.0;User ID=Admin;Data Source=C:\길벗컴활1급총정리\엑셀\기능\재배현황02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농작물" commandType="3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자격수당].[직책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<sst xmlns="http://schemas.openxmlformats.org/spreadsheetml/2006/main" count="264" uniqueCount="109">
  <si>
    <t>생산지</t>
  </si>
  <si>
    <t>(모두)</t>
  </si>
  <si>
    <t>합계 : 재배면적</t>
  </si>
  <si>
    <t>열 레이블</t>
  </si>
  <si>
    <t>계약재배</t>
  </si>
  <si>
    <t>포전매매</t>
  </si>
  <si>
    <t>총합계</t>
  </si>
  <si>
    <t>행 레이블</t>
  </si>
  <si>
    <t>가을</t>
  </si>
  <si>
    <t>봄</t>
  </si>
  <si>
    <t>여름</t>
  </si>
  <si>
    <t>월동</t>
  </si>
  <si>
    <t>전체 합계 : 재배면적</t>
  </si>
  <si>
    <t>전체 합계 : 거래수수료</t>
  </si>
  <si>
    <t>합계 : 거래수수료</t>
  </si>
  <si>
    <t>평균 : 재배면적</t>
  </si>
  <si>
    <t>계약종류</t>
  </si>
  <si>
    <t>계약일</t>
  </si>
  <si>
    <t>재배시기</t>
  </si>
  <si>
    <t>2018년</t>
  </si>
  <si>
    <t>1사분기</t>
  </si>
  <si>
    <t>2사분기</t>
  </si>
  <si>
    <t>3사분기</t>
  </si>
  <si>
    <t>4사분기</t>
  </si>
  <si>
    <t>2019년</t>
  </si>
  <si>
    <t>성명</t>
  </si>
  <si>
    <t>합계 : 1월</t>
  </si>
  <si>
    <t>합계 : 2월</t>
  </si>
  <si>
    <t>합계 : 3월</t>
  </si>
  <si>
    <t>합계 : 표준편차</t>
  </si>
  <si>
    <t>구미성</t>
  </si>
  <si>
    <t>김숙희</t>
  </si>
  <si>
    <t>이영자</t>
  </si>
  <si>
    <t>최복선</t>
  </si>
  <si>
    <t>(비어 있음)</t>
  </si>
  <si>
    <t>예정</t>
  </si>
  <si>
    <t>완료</t>
  </si>
  <si>
    <t>굴착기</t>
  </si>
  <si>
    <t>불도저</t>
  </si>
  <si>
    <t>지게차</t>
  </si>
  <si>
    <t>크레인</t>
  </si>
  <si>
    <t>평균: 대여시간</t>
  </si>
  <si>
    <t>전체 평균: 대여시간</t>
  </si>
  <si>
    <t>평균: 대여비용</t>
  </si>
  <si>
    <t>전체 평균: 대여비용</t>
  </si>
  <si>
    <t>결제상태</t>
  </si>
  <si>
    <t>대여장비</t>
  </si>
  <si>
    <t>값</t>
  </si>
  <si>
    <t>Gold</t>
  </si>
  <si>
    <t>Platinum</t>
  </si>
  <si>
    <t>Silver</t>
  </si>
  <si>
    <t>합계 : 판매금액</t>
  </si>
  <si>
    <t>2001-3000</t>
  </si>
  <si>
    <t>3001-4000</t>
  </si>
  <si>
    <t>4001-5000</t>
  </si>
  <si>
    <t>5001-6000</t>
  </si>
  <si>
    <t>***</t>
  </si>
  <si>
    <t>회원등급</t>
  </si>
  <si>
    <t>단가(원/㎡)</t>
  </si>
  <si>
    <t>원자재종류</t>
  </si>
  <si>
    <t>합계 : 수입규모(t)</t>
  </si>
  <si>
    <t>합계 : 통관수수료</t>
  </si>
  <si>
    <t>입고시간</t>
  </si>
  <si>
    <t>(다중 항목)</t>
  </si>
  <si>
    <t>입고시간2</t>
  </si>
  <si>
    <t>오전</t>
  </si>
  <si>
    <t>오후</t>
  </si>
  <si>
    <t>오전 요약</t>
  </si>
  <si>
    <t>오후 요약</t>
  </si>
  <si>
    <t>직책</t>
  </si>
  <si>
    <t>All</t>
  </si>
  <si>
    <t>08월</t>
  </si>
  <si>
    <t>02월</t>
  </si>
  <si>
    <t>합계: 평가점수</t>
  </si>
  <si>
    <t>무소속</t>
  </si>
  <si>
    <t>미국</t>
  </si>
  <si>
    <t>한국</t>
  </si>
  <si>
    <t>호주</t>
  </si>
  <si>
    <t>소속지사</t>
  </si>
  <si>
    <t>정년날짜(월)</t>
  </si>
  <si>
    <t>정년날짜</t>
  </si>
  <si>
    <t>연구원평가</t>
  </si>
  <si>
    <t>광자통신</t>
  </si>
  <si>
    <t>인공지능</t>
  </si>
  <si>
    <t>ANS-07</t>
  </si>
  <si>
    <t>ANS-99</t>
  </si>
  <si>
    <t>CIE-38</t>
  </si>
  <si>
    <t>합계 : 총점</t>
  </si>
  <si>
    <t>연구분야</t>
  </si>
  <si>
    <t>연구원ID</t>
  </si>
  <si>
    <t>A</t>
  </si>
  <si>
    <t>연구원ID2</t>
  </si>
  <si>
    <t>자연과학</t>
  </si>
  <si>
    <t>정보공학</t>
  </si>
  <si>
    <t>이름</t>
  </si>
  <si>
    <t>내부평가</t>
  </si>
  <si>
    <t>외부평가</t>
  </si>
  <si>
    <t>연구점수</t>
  </si>
  <si>
    <t>윤명재</t>
  </si>
  <si>
    <t>연</t>
  </si>
  <si>
    <t>그룹1</t>
  </si>
  <si>
    <t>재배시기2</t>
  </si>
  <si>
    <t>그룹1 합계 : 재배면적</t>
  </si>
  <si>
    <t>그룹1 합계 : 거래수수료</t>
  </si>
  <si>
    <t>10월~2월</t>
  </si>
  <si>
    <t>그룹2</t>
  </si>
  <si>
    <t>그룹2 합계 : 재배면적</t>
  </si>
  <si>
    <t>그룹2 합계 : 거래수수료</t>
  </si>
  <si>
    <t>3월~9월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</si>
</sst>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#,###&quot;원&quot;"/>
    <numFmt numFmtId="178" formatCode="0.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" fontId="0" fillId="0" borderId="0" xfId="0" applyNumberFormat="1">
      <alignment vertical="center"/>
    </xf>
    <xf numFmtId="41" fontId="0" fillId="0" borderId="0" xfId="0" applyNumberFormat="1">
      <alignment vertical="center"/>
    </xf>
    <xf numFmtId="176" fontId="0" fillId="0" borderId="0" xfId="0" applyNumberFormat="1">
      <alignment vertical="center"/>
    </xf>
    <xf numFmtId="1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</cellXfs>
  <cellStyles count="1">
    <cellStyle name="표준" xfId="0" builtinId="0"/>
  </cellStyles>
  <dxfs count="14">
    <dxf>
      <numFmt numFmtId="1" formatCode="0"/>
    </dxf>
    <dxf>
      <numFmt numFmtId="1" formatCode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1" formatCode="0"/>
    </dxf>
    <dxf>
      <numFmt numFmtId="1" formatCode="0"/>
    </dxf>
    <dxf>
      <numFmt numFmtId="1" formatCode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1" formatCode="0"/>
    </dxf>
    <dxf>
      <numFmt numFmtId="1" formatCode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&#44600;&#48279;&#52980;&#54876;1&#44553;&#52509;&#51221;&#47532;/&#50641;&#49472;/&#44592;&#45733;_&#44592;&#51316;/10&#54588;&#48279;&#53580;&#51060;&#48660;%20&#51221;&#45813;%20-%20&#48373;&#49324;&#48376;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121.724789236112" backgroundQuery="1" createdVersion="8" refreshedVersion="8" minRefreshableVersion="3" recordCount="28" xr:uid="{0DB4F0D7-F370-4BE7-9299-574240F430BB}">
  <cacheSource type="external" connectionId="8"/>
  <cacheFields count="10">
    <cacheField name="농작물" numFmtId="0">
      <sharedItems count="5">
        <s v="고추"/>
        <s v="참깨"/>
        <s v="양파"/>
        <s v="마늘"/>
        <s v="감자"/>
      </sharedItems>
    </cacheField>
    <cacheField name="생산지" numFmtId="0">
      <sharedItems count="4">
        <s v="전남"/>
        <s v="제주"/>
        <s v="경남"/>
        <s v="전북"/>
      </sharedItems>
    </cacheField>
    <cacheField name="계약종류" numFmtId="0">
      <sharedItems count="2">
        <s v="계약재배"/>
        <s v="포전매매"/>
      </sharedItems>
    </cacheField>
    <cacheField name="계약일" numFmtId="0">
      <sharedItems containsSemiMixedTypes="0" containsNonDate="0" containsDate="1" containsString="0" minDate="2018-01-10T00:00:00" maxDate="2019-12-27T00:00:00" count="27">
        <d v="2019-08-18T00:00:00"/>
        <d v="2019-09-26T00:00:00"/>
        <d v="2018-12-02T00:00:00"/>
        <d v="2018-02-28T00:00:00"/>
        <d v="2019-12-08T00:00:00"/>
        <d v="2018-06-27T00:00:00"/>
        <d v="2018-05-03T00:00:00"/>
        <d v="2018-08-18T00:00:00"/>
        <d v="2018-03-13T00:00:00"/>
        <d v="2019-05-07T00:00:00"/>
        <d v="2018-08-06T00:00:00"/>
        <d v="2018-01-19T00:00:00"/>
        <d v="2019-05-08T00:00:00"/>
        <d v="2018-04-07T00:00:00"/>
        <d v="2018-01-13T00:00:00"/>
        <d v="2019-12-26T00:00:00"/>
        <d v="2018-01-20T00:00:00"/>
        <d v="2018-08-26T00:00:00"/>
        <d v="2019-02-12T00:00:00"/>
        <d v="2019-11-08T00:00:00"/>
        <d v="2018-03-24T00:00:00"/>
        <d v="2018-07-11T00:00:00"/>
        <d v="2018-07-02T00:00:00"/>
        <d v="2019-01-01T00:00:00"/>
        <d v="2018-01-10T00:00:00"/>
        <d v="2019-08-08T00:00:00"/>
        <d v="2019-07-18T00:00:00"/>
      </sharedItems>
      <fieldGroup par="8" base="3">
        <rangePr groupBy="quarters" startDate="2018-01-10T00:00:00" endDate="2019-12-27T00:00:00"/>
        <groupItems count="6">
          <s v="&lt;2018-01-10"/>
          <s v="1사분기"/>
          <s v="2사분기"/>
          <s v="3사분기"/>
          <s v="4사분기"/>
          <s v="&gt;2019-12-27"/>
        </groupItems>
      </fieldGroup>
    </cacheField>
    <cacheField name="재배면적" numFmtId="0">
      <sharedItems containsSemiMixedTypes="0" containsString="0" containsNumber="1" containsInteger="1" minValue="1801" maxValue="4480" count="28">
        <n v="3811"/>
        <n v="2403"/>
        <n v="2006"/>
        <n v="1892"/>
        <n v="1801"/>
        <n v="1915"/>
        <n v="2800"/>
        <n v="3701"/>
        <n v="4287"/>
        <n v="4480"/>
        <n v="4126"/>
        <n v="2350"/>
        <n v="4007"/>
        <n v="4204"/>
        <n v="2456"/>
        <n v="3541"/>
        <n v="2496"/>
        <n v="3749"/>
        <n v="3016"/>
        <n v="2864"/>
        <n v="3562"/>
        <n v="3141"/>
        <n v="3869"/>
        <n v="1870"/>
        <n v="3969"/>
        <n v="3000"/>
        <n v="2193"/>
        <n v="2051"/>
      </sharedItems>
    </cacheField>
    <cacheField name="재배시기" numFmtId="0">
      <sharedItems count="4">
        <s v="봄"/>
        <s v="가을"/>
        <s v="여름"/>
        <s v="월동"/>
      </sharedItems>
      <fieldGroup par="9"/>
    </cacheField>
    <cacheField name="사용비료" numFmtId="0">
      <sharedItems count="3">
        <s v="복합"/>
        <s v="자급"/>
        <s v="유기질"/>
      </sharedItems>
    </cacheField>
    <cacheField name="거래수수료" numFmtId="0">
      <sharedItems containsSemiMixedTypes="0" containsString="0" containsNumber="1" containsInteger="1" minValue="66000" maxValue="120000" count="15">
        <n v="100000"/>
        <n v="90000"/>
        <n v="66000"/>
        <n v="120000"/>
        <n v="112000"/>
        <n v="92000"/>
        <n v="108000"/>
        <n v="70000"/>
        <n v="114000"/>
        <n v="106000"/>
        <n v="117000"/>
        <n v="81000"/>
        <n v="98000"/>
        <n v="116000"/>
        <n v="74000"/>
      </sharedItems>
    </cacheField>
    <cacheField name="연" numFmtId="0" databaseField="0">
      <fieldGroup base="3">
        <rangePr groupBy="years" startDate="2018-01-10T00:00:00" endDate="2019-12-27T00:00:00"/>
        <groupItems count="4">
          <s v="&lt;2018-01-10"/>
          <s v="2018년"/>
          <s v="2019년"/>
          <s v="&gt;2019-12-27"/>
        </groupItems>
      </fieldGroup>
    </cacheField>
    <cacheField name="재배시기2" numFmtId="0" databaseField="0">
      <fieldGroup base="5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37.780926736108" backgroundQuery="1" createdVersion="7" refreshedVersion="7" minRefreshableVersion="3" recordCount="28" xr:uid="{E542EEEE-FFEF-4E1B-A5B4-848B984C75AF}">
  <cacheSource type="external" connectionId="9"/>
  <cacheFields count="8">
    <cacheField name="농작물" numFmtId="0">
      <sharedItems count="5">
        <s v="고추"/>
        <s v="참깨"/>
        <s v="양파"/>
        <s v="마늘"/>
        <s v="감자"/>
      </sharedItems>
    </cacheField>
    <cacheField name="생산지" numFmtId="0">
      <sharedItems count="4">
        <s v="전남"/>
        <s v="제주"/>
        <s v="경남"/>
        <s v="전북"/>
      </sharedItems>
    </cacheField>
    <cacheField name="계약종류" numFmtId="0">
      <sharedItems count="2">
        <s v="계약재배"/>
        <s v="포전매매"/>
      </sharedItems>
    </cacheField>
    <cacheField name="계약일" numFmtId="0">
      <sharedItems containsSemiMixedTypes="0" containsNonDate="0" containsDate="1" containsString="0" minDate="2018-01-10T00:00:00" maxDate="2019-12-27T00:00:00" count="27">
        <d v="2019-08-18T00:00:00"/>
        <d v="2019-09-26T00:00:00"/>
        <d v="2018-12-02T00:00:00"/>
        <d v="2018-02-28T00:00:00"/>
        <d v="2019-12-08T00:00:00"/>
        <d v="2018-06-27T00:00:00"/>
        <d v="2018-05-03T00:00:00"/>
        <d v="2018-08-18T00:00:00"/>
        <d v="2018-03-13T00:00:00"/>
        <d v="2019-05-07T00:00:00"/>
        <d v="2018-08-06T00:00:00"/>
        <d v="2018-01-19T00:00:00"/>
        <d v="2019-05-08T00:00:00"/>
        <d v="2018-04-07T00:00:00"/>
        <d v="2018-01-13T00:00:00"/>
        <d v="2019-12-26T00:00:00"/>
        <d v="2018-01-20T00:00:00"/>
        <d v="2018-08-26T00:00:00"/>
        <d v="2019-02-12T00:00:00"/>
        <d v="2019-11-08T00:00:00"/>
        <d v="2018-03-24T00:00:00"/>
        <d v="2018-07-11T00:00:00"/>
        <d v="2018-07-02T00:00:00"/>
        <d v="2019-01-01T00:00:00"/>
        <d v="2018-01-10T00:00:00"/>
        <d v="2019-08-08T00:00:00"/>
        <d v="2019-07-18T00:00:00"/>
      </sharedItems>
    </cacheField>
    <cacheField name="재배면적" numFmtId="0">
      <sharedItems containsSemiMixedTypes="0" containsString="0" containsNumber="1" containsInteger="1" minValue="1801" maxValue="4480" count="28">
        <n v="3811"/>
        <n v="2403"/>
        <n v="2006"/>
        <n v="1892"/>
        <n v="1801"/>
        <n v="1915"/>
        <n v="2800"/>
        <n v="3701"/>
        <n v="4287"/>
        <n v="4480"/>
        <n v="4126"/>
        <n v="2350"/>
        <n v="4007"/>
        <n v="4204"/>
        <n v="2456"/>
        <n v="3541"/>
        <n v="2496"/>
        <n v="3749"/>
        <n v="3016"/>
        <n v="2864"/>
        <n v="3562"/>
        <n v="3141"/>
        <n v="3869"/>
        <n v="1870"/>
        <n v="3969"/>
        <n v="3000"/>
        <n v="2193"/>
        <n v="2051"/>
      </sharedItems>
    </cacheField>
    <cacheField name="재배시기" numFmtId="0">
      <sharedItems count="4">
        <s v="봄"/>
        <s v="가을"/>
        <s v="여름"/>
        <s v="월동"/>
      </sharedItems>
    </cacheField>
    <cacheField name="사용비료" numFmtId="0">
      <sharedItems count="3">
        <s v="복합"/>
        <s v="자급"/>
        <s v="유기질"/>
      </sharedItems>
    </cacheField>
    <cacheField name="거래수수료" numFmtId="0">
      <sharedItems containsSemiMixedTypes="0" containsString="0" containsNumber="1" containsInteger="1" minValue="66000" maxValue="120000" count="15">
        <n v="100000"/>
        <n v="90000"/>
        <n v="66000"/>
        <n v="120000"/>
        <n v="112000"/>
        <n v="92000"/>
        <n v="108000"/>
        <n v="70000"/>
        <n v="114000"/>
        <n v="106000"/>
        <n v="117000"/>
        <n v="81000"/>
        <n v="98000"/>
        <n v="116000"/>
        <n v="74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lk@naver.com" refreshedDate="44348.933389351849" createdVersion="4" refreshedVersion="6" minRefreshableVersion="3" recordCount="14" xr:uid="{76C4C469-E496-46F5-A5EE-0FC6CFBF8D89}">
  <cacheSource type="worksheet">
    <worksheetSource ref="J2:M16" sheet="10" r:id="rId2"/>
  </cacheSource>
  <cacheFields count="5">
    <cacheField name="성명" numFmtId="0">
      <sharedItems containsBlank="1" count="5">
        <s v="김숙희"/>
        <s v="이영자"/>
        <s v="구미성"/>
        <s v="최복선"/>
        <m/>
      </sharedItems>
    </cacheField>
    <cacheField name="1월" numFmtId="0">
      <sharedItems containsSemiMixedTypes="0" containsString="0" containsNumber="1" containsInteger="1" minValue="55" maxValue="99"/>
    </cacheField>
    <cacheField name="2월" numFmtId="0">
      <sharedItems containsSemiMixedTypes="0" containsString="0" containsNumber="1" containsInteger="1" minValue="55" maxValue="96"/>
    </cacheField>
    <cacheField name="3월" numFmtId="0">
      <sharedItems containsSemiMixedTypes="0" containsString="0" containsNumber="1" containsInteger="1" minValue="57" maxValue="99"/>
    </cacheField>
    <cacheField name="표준편차" numFmtId="0" formula=" STDEV('1월','2월','3월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37.862077777776" backgroundQuery="1" createdVersion="7" refreshedVersion="7" minRefreshableVersion="3" recordCount="27" xr:uid="{B8E3B2C7-16E1-415B-9125-4F358110C5CE}">
  <cacheSource type="external" connectionId="6"/>
  <cacheFields count="10">
    <cacheField name="구매자" numFmtId="0">
      <sharedItems count="27">
        <s v="손소훈"/>
        <s v="권선후"/>
        <s v="오민희"/>
        <s v="윤세은"/>
        <s v="양영솔"/>
        <s v="남상수"/>
        <s v="권서아"/>
        <s v="최송훈"/>
        <s v="주원정"/>
        <s v="황애솔"/>
        <s v="권영채"/>
        <s v="조연지"/>
        <s v="전세은"/>
        <s v="오이설"/>
        <s v="강아지"/>
        <s v="주슬아"/>
        <s v="송희솔"/>
        <s v="손현일"/>
        <s v="남해연"/>
        <s v="윤상욱"/>
        <s v="허하영"/>
        <s v="양유리"/>
        <s v="윤도율"/>
        <s v="최은경"/>
        <s v="강은하"/>
        <s v="노청하"/>
        <s v="손상후"/>
      </sharedItems>
    </cacheField>
    <cacheField name="상품코드" numFmtId="0">
      <sharedItems count="27">
        <s v="PB-67"/>
        <s v="MP-66"/>
        <s v="MDF-63"/>
        <s v="RP-75"/>
        <s v="PB-16"/>
        <s v="PB-99"/>
        <s v="MDF-74"/>
        <s v="MDF-68"/>
        <s v="PB-52"/>
        <s v="PB-30"/>
        <s v="MP-84"/>
        <s v="PB-94"/>
        <s v="MDF-47"/>
        <s v="PB-36"/>
        <s v="RP-67"/>
        <s v="MDF-98"/>
        <s v="MP-22"/>
        <s v="MP-92"/>
        <s v="PB-39"/>
        <s v="MP-44"/>
        <s v="PB-12"/>
        <s v="MDF-54"/>
        <s v="MP-91"/>
        <s v="MP-36"/>
        <s v="MDF-52"/>
        <s v="RP-33"/>
        <s v="MDF-29"/>
      </sharedItems>
    </cacheField>
    <cacheField name="종류" numFmtId="0">
      <sharedItems count="5">
        <s v="PB"/>
        <s v="무늬목"/>
        <s v="중섬유판"/>
        <s v="집성목"/>
        <s v="합판"/>
      </sharedItems>
    </cacheField>
    <cacheField name="가로(m)" numFmtId="0">
      <sharedItems containsSemiMixedTypes="0" containsString="0" containsNumber="1" containsInteger="1" minValue="1" maxValue="8" count="8">
        <n v="4"/>
        <n v="3"/>
        <n v="6"/>
        <n v="1"/>
        <n v="7"/>
        <n v="2"/>
        <n v="8"/>
        <n v="5"/>
      </sharedItems>
    </cacheField>
    <cacheField name="세로(m)" numFmtId="0">
      <sharedItems containsSemiMixedTypes="0" containsString="0" containsNumber="1" containsInteger="1" minValue="1" maxValue="10" count="10">
        <n v="5"/>
        <n v="8"/>
        <n v="1"/>
        <n v="6"/>
        <n v="3"/>
        <n v="4"/>
        <n v="9"/>
        <n v="2"/>
        <n v="10"/>
        <n v="7"/>
      </sharedItems>
    </cacheField>
    <cacheField name="수량" numFmtId="0">
      <sharedItems containsSemiMixedTypes="0" containsString="0" containsNumber="1" containsInteger="1" minValue="40" maxValue="500" count="23">
        <n v="60"/>
        <n v="40"/>
        <n v="180"/>
        <n v="240"/>
        <n v="370"/>
        <n v="470"/>
        <n v="310"/>
        <n v="420"/>
        <n v="360"/>
        <n v="500"/>
        <n v="290"/>
        <n v="200"/>
        <n v="320"/>
        <n v="80"/>
        <n v="490"/>
        <n v="330"/>
        <n v="390"/>
        <n v="480"/>
        <n v="350"/>
        <n v="160"/>
        <n v="220"/>
        <n v="270"/>
        <n v="260"/>
      </sharedItems>
    </cacheField>
    <cacheField name="단가(원/㎡)" numFmtId="0">
      <sharedItems containsSemiMixedTypes="0" containsString="0" containsNumber="1" containsInteger="1" minValue="2500" maxValue="5200" count="5">
        <n v="3900"/>
        <n v="2500"/>
        <n v="5200"/>
        <n v="3500"/>
        <n v="4100"/>
      </sharedItems>
      <fieldGroup base="6">
        <rangePr autoStart="0" autoEnd="0" startNum="2001" endNum="6000" groupInterval="1000"/>
        <groupItems count="6">
          <s v="&lt;2001"/>
          <s v="2001-3000"/>
          <s v="3001-4000"/>
          <s v="4001-5000"/>
          <s v="5001-6000"/>
          <s v="&gt;6001"/>
        </groupItems>
      </fieldGroup>
    </cacheField>
    <cacheField name="회원등급" numFmtId="0">
      <sharedItems count="3">
        <s v="Silver"/>
        <s v="Gold"/>
        <s v="Platinum"/>
      </sharedItems>
    </cacheField>
    <cacheField name="분할배송(회)" numFmtId="0">
      <sharedItems containsSemiMixedTypes="0" containsString="0" containsNumber="1" containsInteger="1" minValue="1" maxValue="3" count="3">
        <n v="1"/>
        <n v="2"/>
        <n v="3"/>
      </sharedItems>
    </cacheField>
    <cacheField name="판매금액" numFmtId="0">
      <sharedItems containsSemiMixedTypes="0" containsString="0" containsNumber="1" containsInteger="1" minValue="392000" maxValue="62964720" count="27">
        <n v="4586400"/>
        <n v="2328000"/>
        <n v="42681600"/>
        <n v="4788000"/>
        <n v="1399710"/>
        <n v="50590800"/>
        <n v="62964720"/>
        <n v="12186720"/>
        <n v="37346400"/>
        <n v="29016000"/>
        <n v="12658500"/>
        <n v="2063880"/>
        <n v="2017600"/>
        <n v="8473920"/>
        <n v="10864000"/>
        <n v="42194880"/>
        <n v="7712100"/>
        <n v="392000"/>
        <n v="29507400"/>
        <n v="54316800"/>
        <n v="5440500"/>
        <n v="20311200"/>
        <n v="3214400"/>
        <n v="11996600"/>
        <n v="41783040"/>
        <n v="7909650"/>
        <n v="51376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37.864320601853" backgroundQuery="1" createdVersion="7" refreshedVersion="7" minRefreshableVersion="3" recordCount="25" xr:uid="{A018C1AE-740F-41FE-ACF6-E225A38B5E4A}">
  <cacheSource type="external" connectionId="4"/>
  <cacheFields count="8">
    <cacheField name="통관부호" numFmtId="0">
      <sharedItems count="25">
        <s v="E888890"/>
        <s v="E482749"/>
        <s v="E531636"/>
        <s v="E798556"/>
        <s v="E738673"/>
        <s v="E660499"/>
        <s v="E669258"/>
        <s v="E495562"/>
        <s v="E464419"/>
        <s v="E417093"/>
        <s v="E548644"/>
        <s v="E269063"/>
        <s v="E425951"/>
        <s v="E728094"/>
        <s v="E986803"/>
        <s v="E430821"/>
        <s v="E350762"/>
        <s v="E985467"/>
        <s v="E150034"/>
        <s v="E983174"/>
        <s v="E523108"/>
        <s v="E388185"/>
        <s v="E188007"/>
        <s v="E437710"/>
        <s v="E387035"/>
      </sharedItems>
    </cacheField>
    <cacheField name="물류코드" numFmtId="0">
      <sharedItems count="25">
        <s v="C-13"/>
        <s v="C-10"/>
        <s v="C-02"/>
        <s v="B-25"/>
        <s v="C-15"/>
        <s v="B-10"/>
        <s v="C-03"/>
        <s v="C-39"/>
        <s v="C-01"/>
        <s v="B-13"/>
        <s v="A-37"/>
        <s v="A-21"/>
        <s v="B-23"/>
        <s v="C-38"/>
        <s v="C-11"/>
        <s v="B-40"/>
        <s v="B-21"/>
        <s v="A-33"/>
        <s v="B-34"/>
        <s v="C-16"/>
        <s v="A-05"/>
        <s v="A-22"/>
        <s v="B-02"/>
        <s v="B-38"/>
        <s v="B-19"/>
      </sharedItems>
    </cacheField>
    <cacheField name="원자재종류" numFmtId="0">
      <sharedItems count="4">
        <s v="농산물"/>
        <s v="금속"/>
        <s v="육류"/>
        <s v="기타"/>
      </sharedItems>
    </cacheField>
    <cacheField name="전년도 수입규모(t)" numFmtId="0">
      <sharedItems containsSemiMixedTypes="0" containsString="0" containsNumber="1" minValue="1" maxValue="160" count="23">
        <n v="17"/>
        <n v="16"/>
        <n v="67"/>
        <n v="1"/>
        <n v="37.5"/>
        <n v="22"/>
        <n v="103"/>
        <n v="74"/>
        <n v="7"/>
        <n v="121"/>
        <n v="32.5"/>
        <n v="8"/>
        <n v="27"/>
        <n v="15"/>
        <n v="29.5"/>
        <n v="18"/>
        <n v="91"/>
        <n v="35.5"/>
        <n v="20"/>
        <n v="21"/>
        <n v="140"/>
        <n v="106"/>
        <n v="160"/>
      </sharedItems>
    </cacheField>
    <cacheField name="수입규모(t)" numFmtId="0">
      <sharedItems containsSemiMixedTypes="0" containsString="0" containsNumber="1" minValue="10" maxValue="150" count="14">
        <n v="16"/>
        <n v="10"/>
        <n v="73"/>
        <n v="38.5"/>
        <n v="31"/>
        <n v="93"/>
        <n v="111"/>
        <n v="25"/>
        <n v="12"/>
        <n v="99"/>
        <n v="24"/>
        <n v="132"/>
        <n v="100"/>
        <n v="150"/>
      </sharedItems>
    </cacheField>
    <cacheField name="입고시간" numFmtId="0">
      <sharedItems containsSemiMixedTypes="0" containsNonDate="0" containsDate="1" containsString="0" minDate="1899-12-30T09:12:07" maxDate="1899-12-30T18:29:01" count="24">
        <d v="1899-12-30T17:12:18"/>
        <d v="1899-12-30T16:43:44"/>
        <d v="1899-12-30T09:39:27"/>
        <d v="1899-12-30T10:05:42"/>
        <d v="1899-12-30T18:29:01"/>
        <d v="1899-12-30T14:12:02"/>
        <d v="1899-12-30T14:16:33"/>
        <d v="1899-12-30T12:18:40"/>
        <d v="1899-12-30T14:36:04"/>
        <d v="1899-12-30T10:53:47"/>
        <d v="1899-12-30T14:56:38"/>
        <d v="1899-12-30T11:14:17"/>
        <d v="1899-12-30T09:57:15"/>
        <d v="1899-12-30T14:27:02"/>
        <d v="1899-12-30T09:15:14"/>
        <d v="1899-12-30T15:24:05"/>
        <d v="1899-12-30T18:09:17"/>
        <d v="1899-12-30T09:15:15"/>
        <d v="1899-12-30T18:05:45"/>
        <d v="1899-12-30T09:32:36"/>
        <d v="1899-12-30T15:49:54"/>
        <d v="1899-12-30T09:12:07"/>
        <d v="1899-12-30T10:54:25"/>
        <d v="1899-12-30T13:56:03"/>
      </sharedItems>
      <fieldGroup par="7"/>
    </cacheField>
    <cacheField name="통관수수료" numFmtId="0">
      <sharedItems containsSemiMixedTypes="0" containsString="0" containsNumber="1" containsInteger="1" minValue="380000" maxValue="720000" count="20">
        <n v="452000"/>
        <n v="380000"/>
        <n v="656000"/>
        <n v="520000"/>
        <n v="497000"/>
        <n v="443000"/>
        <n v="629000"/>
        <n v="544000"/>
        <n v="642000"/>
        <n v="465500"/>
        <n v="530000"/>
        <n v="560000"/>
        <n v="398000"/>
        <n v="634000"/>
        <n v="444000"/>
        <n v="647000"/>
        <n v="422000"/>
        <n v="684000"/>
        <n v="710000"/>
        <n v="720000"/>
      </sharedItems>
    </cacheField>
    <cacheField name="입고시간2" numFmtId="0" databaseField="0">
      <fieldGroup base="5">
        <discretePr count="24">
          <x v="15"/>
          <x v="0"/>
          <x v="14"/>
          <x v="1"/>
          <x v="15"/>
          <x v="2"/>
          <x v="3"/>
          <x v="15"/>
          <x v="4"/>
          <x v="14"/>
          <x v="5"/>
          <x v="14"/>
          <x v="6"/>
          <x v="7"/>
          <x v="14"/>
          <x v="8"/>
          <x v="9"/>
          <x v="10"/>
          <x v="11"/>
          <x v="12"/>
          <x v="15"/>
          <x v="13"/>
          <x v="14"/>
          <x v="15"/>
        </discretePr>
        <groupItems count="16">
          <d v="1899-12-30T16:43:44"/>
          <d v="1899-12-30T10:05:42"/>
          <d v="1899-12-30T14:12:02"/>
          <d v="1899-12-30T14:16:33"/>
          <d v="1899-12-30T14:36:04"/>
          <d v="1899-12-30T14:56:38"/>
          <d v="1899-12-30T09:57:15"/>
          <d v="1899-12-30T14:27:02"/>
          <d v="1899-12-30T15:24:05"/>
          <d v="1899-12-30T18:09:17"/>
          <d v="1899-12-30T09:15:15"/>
          <d v="1899-12-30T18:05:45"/>
          <d v="1899-12-30T09:32:36"/>
          <d v="1899-12-30T09:12:07"/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37.77703553241" backgroundQuery="1" createdVersion="7" refreshedVersion="7" minRefreshableVersion="3" recordCount="0" supportSubquery="1" supportAdvancedDrill="1" xr:uid="{773A9D52-4AEB-4F87-94A4-776E0C344812}">
  <cacheSource type="external" connectionId="1"/>
  <cacheFields count="0"/>
  <cacheHierarchies count="28">
    <cacheHierarchy uniqueName="[대여현황].[결제상태]" caption="결제상태" attribute="1" defaultMemberUniqueName="[대여현황].[결제상태].[All]" allUniqueName="[대여현황].[결제상태].[All]" dimensionUniqueName="[대여현황]" displayFolder="" count="0" memberValueDatatype="130" unbalanced="0"/>
    <cacheHierarchy uniqueName="[대여현황].[대여장비]" caption="대여장비" attribute="1" defaultMemberUniqueName="[대여현황].[대여장비].[All]" allUniqueName="[대여현황].[대여장비].[All]" dimensionUniqueName="[대여현황]" displayFolder="" count="0" memberValueDatatype="130" unbalanced="0"/>
    <cacheHierarchy uniqueName="[대여현황].[대여시간]" caption="대여시간" attribute="1" defaultMemberUniqueName="[대여현황].[대여시간].[All]" allUniqueName="[대여현황].[대여시간].[All]" dimensionUniqueName="[대여현황]" displayFolder="" count="0" memberValueDatatype="20" unbalanced="0"/>
    <cacheHierarchy uniqueName="[대여현황].[대여비용]" caption="대여비용" attribute="1" defaultMemberUniqueName="[대여현황].[대여비용].[All]" allUniqueName="[대여현황].[대여비용].[All]" dimensionUniqueName="[대여현황]" displayFolder="" count="0" memberValueDatatype="20" unbalanced="0"/>
    <cacheHierarchy uniqueName="[자격수당].[소속지사]" caption="소속지사" attribute="1" defaultMemberUniqueName="[자격수당].[소속지사].[All]" allUniqueName="[자격수당].[소속지사].[All]" dimensionUniqueName="[자격수당]" displayFolder="" count="0" memberValueDatatype="130" unbalanced="0"/>
    <cacheHierarchy uniqueName="[자격수당].[정년날짜]" caption="정년날짜" attribute="1" time="1" defaultMemberUniqueName="[자격수당].[정년날짜].[All]" allUniqueName="[자격수당].[정년날짜].[All]" dimensionUniqueName="[자격수당]" displayFolder="" count="0" memberValueDatatype="7" unbalanced="0"/>
    <cacheHierarchy uniqueName="[자격수당].[직책]" caption="직책" attribute="1" defaultMemberUniqueName="[자격수당].[직책].[All]" allUniqueName="[자격수당].[직책].[All]" dimensionUniqueName="[자격수당]" displayFolder="" count="0" memberValueDatatype="130" unbalanced="0"/>
    <cacheHierarchy uniqueName="[자격수당].[평가점수]" caption="평가점수" attribute="1" defaultMemberUniqueName="[자격수당].[평가점수].[All]" allUniqueName="[자격수당].[평가점수].[All]" dimensionUniqueName="[자격수당]" displayFolder="" count="0" memberValueDatatype="5" unbalanced="0"/>
    <cacheHierarchy uniqueName="[자격수당].[정년날짜(연도)]" caption="정년날짜(연도)" attribute="1" defaultMemberUniqueName="[자격수당].[정년날짜(연도)].[All]" allUniqueName="[자격수당].[정년날짜(연도)].[All]" dimensionUniqueName="[자격수당]" displayFolder="" count="0" memberValueDatatype="130" unbalanced="0"/>
    <cacheHierarchy uniqueName="[자격수당].[정년날짜(분기)]" caption="정년날짜(분기)" attribute="1" defaultMemberUniqueName="[자격수당].[정년날짜(분기)].[All]" allUniqueName="[자격수당].[정년날짜(분기)].[All]" dimensionUniqueName="[자격수당]" displayFolder="" count="0" memberValueDatatype="130" unbalanced="0"/>
    <cacheHierarchy uniqueName="[자격수당].[정년날짜(월)]" caption="정년날짜(월)" attribute="1" defaultMemberUniqueName="[자격수당].[정년날짜(월)].[All]" allUniqueName="[자격수당].[정년날짜(월)].[All]" dimensionUniqueName="[자격수당]" displayFolder="" count="0" memberValueDatatype="130" unbalanced="0"/>
    <cacheHierarchy uniqueName="[재배현황01].[농작물]" caption="농작물" attribute="1" defaultMemberUniqueName="[재배현황01].[농작물].[All]" allUniqueName="[재배현황01].[농작물].[All]" dimensionUniqueName="[재배현황01]" displayFolder="" count="0" memberValueDatatype="130" unbalanced="0"/>
    <cacheHierarchy uniqueName="[재배현황01].[생산지]" caption="생산지" attribute="1" defaultMemberUniqueName="[재배현황01].[생산지].[All]" allUniqueName="[재배현황01].[생산지].[All]" dimensionUniqueName="[재배현황01]" displayFolder="" count="0" memberValueDatatype="130" unbalanced="0"/>
    <cacheHierarchy uniqueName="[재배현황01].[계약종류]" caption="계약종류" attribute="1" defaultMemberUniqueName="[재배현황01].[계약종류].[All]" allUniqueName="[재배현황01].[계약종류].[All]" dimensionUniqueName="[재배현황01]" displayFolder="" count="0" memberValueDatatype="130" unbalanced="0"/>
    <cacheHierarchy uniqueName="[재배현황01].[계약일]" caption="계약일" attribute="1" time="1" defaultMemberUniqueName="[재배현황01].[계약일].[All]" allUniqueName="[재배현황01].[계약일].[All]" dimensionUniqueName="[재배현황01]" displayFolder="" count="0" memberValueDatatype="7" unbalanced="0"/>
    <cacheHierarchy uniqueName="[재배현황01].[재배면적]" caption="재배면적" attribute="1" defaultMemberUniqueName="[재배현황01].[재배면적].[All]" allUniqueName="[재배현황01].[재배면적].[All]" dimensionUniqueName="[재배현황01]" displayFolder="" count="0" memberValueDatatype="20" unbalanced="0"/>
    <cacheHierarchy uniqueName="[재배현황01].[재배시기]" caption="재배시기" attribute="1" defaultMemberUniqueName="[재배현황01].[재배시기].[All]" allUniqueName="[재배현황01].[재배시기].[All]" dimensionUniqueName="[재배현황01]" displayFolder="" count="0" memberValueDatatype="130" unbalanced="0"/>
    <cacheHierarchy uniqueName="[재배현황01].[거래수수료]" caption="거래수수료" attribute="1" defaultMemberUniqueName="[재배현황01].[거래수수료].[All]" allUniqueName="[재배현황01].[거래수수료].[All]" dimensionUniqueName="[재배현황01]" displayFolder="" count="0" memberValueDatatype="20" unbalanced="0"/>
    <cacheHierarchy uniqueName="[자격수당].[정년날짜(월 인덱스)]" caption="정년날짜(월 인덱스)" attribute="1" defaultMemberUniqueName="[자격수당].[정년날짜(월 인덱스)].[All]" allUniqueName="[자격수당].[정년날짜(월 인덱스)].[All]" dimensionUniqueName="[자격수당]" displayFolder="" count="0" memberValueDatatype="20" unbalanced="0" hidden="1"/>
    <cacheHierarchy uniqueName="[Measures].[__XL_Count 재배현황01]" caption="__XL_Count 재배현황01" measure="1" displayFolder="" measureGroup="재배현황01" count="0" hidden="1"/>
    <cacheHierarchy uniqueName="[Measures].[__XL_Count 대여현황]" caption="__XL_Count 대여현황" measure="1" displayFolder="" measureGroup="대여현황" count="0" hidden="1"/>
    <cacheHierarchy uniqueName="[Measures].[__XL_Count 자격수당]" caption="__XL_Count 자격수당" measure="1" displayFolder="" measureGroup="자격수당" count="0" hidden="1"/>
    <cacheHierarchy uniqueName="[Measures].[__No measures defined]" caption="__No measures defined" measure="1" displayFolder="" count="0" hidden="1"/>
    <cacheHierarchy uniqueName="[Measures].[합계: 대여시간]" caption="합계: 대여시간" measure="1" displayFolder="" measureGroup="대여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대여비용]" caption="합계: 대여비용" measure="1" displayFolder="" measureGroup="대여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대여시간]" caption="평균: 대여시간" measure="1" displayFolder="" measureGroup="대여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대여비용]" caption="평균: 대여비용" measure="1" displayFolder="" measureGroup="대여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평가점수]" caption="합계: 평가점수" measure="1" displayFolder="" measureGroup="자격수당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대여현황" uniqueName="[대여현황]" caption="대여현황"/>
    <dimension name="자격수당" uniqueName="[자격수당]" caption="자격수당"/>
    <dimension name="재배현황01" uniqueName="[재배현황01]" caption="재배현황01"/>
  </dimensions>
  <measureGroups count="3">
    <measureGroup name="대여현황" caption="대여현황"/>
    <measureGroup name="자격수당" caption="자격수당"/>
    <measureGroup name="재배현황01" caption="재배현황0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37.860095370372" backgroundQuery="1" createdVersion="7" refreshedVersion="7" minRefreshableVersion="3" recordCount="0" supportSubquery="1" supportAdvancedDrill="1" xr:uid="{A3440891-F56E-41AF-8EE4-CBB86A1C091F}">
  <cacheSource type="external" connectionId="1"/>
  <cacheFields count="4">
    <cacheField name="[대여현황].[결제상태].[결제상태]" caption="결제상태" numFmtId="0" level="1">
      <sharedItems count="2">
        <s v="예정"/>
        <s v="완료"/>
      </sharedItems>
    </cacheField>
    <cacheField name="[대여현황].[대여장비].[대여장비]" caption="대여장비" numFmtId="0" hierarchy="1" level="1">
      <sharedItems count="4">
        <s v="굴착기"/>
        <s v="불도저"/>
        <s v="지게차"/>
        <s v="크레인"/>
      </sharedItems>
    </cacheField>
    <cacheField name="[Measures].[평균: 대여시간]" caption="평균: 대여시간" numFmtId="0" hierarchy="25" level="32767"/>
    <cacheField name="[Measures].[평균: 대여비용]" caption="평균: 대여비용" numFmtId="0" hierarchy="26" level="32767"/>
  </cacheFields>
  <cacheHierarchies count="28">
    <cacheHierarchy uniqueName="[대여현황].[결제상태]" caption="결제상태" attribute="1" defaultMemberUniqueName="[대여현황].[결제상태].[All]" allUniqueName="[대여현황].[결제상태].[All]" dimensionUniqueName="[대여현황]" displayFolder="" count="2" memberValueDatatype="130" unbalanced="0">
      <fieldsUsage count="2">
        <fieldUsage x="-1"/>
        <fieldUsage x="0"/>
      </fieldsUsage>
    </cacheHierarchy>
    <cacheHierarchy uniqueName="[대여현황].[대여장비]" caption="대여장비" attribute="1" defaultMemberUniqueName="[대여현황].[대여장비].[All]" allUniqueName="[대여현황].[대여장비].[All]" dimensionUniqueName="[대여현황]" displayFolder="" count="2" memberValueDatatype="130" unbalanced="0">
      <fieldsUsage count="2">
        <fieldUsage x="-1"/>
        <fieldUsage x="1"/>
      </fieldsUsage>
    </cacheHierarchy>
    <cacheHierarchy uniqueName="[대여현황].[대여시간]" caption="대여시간" attribute="1" defaultMemberUniqueName="[대여현황].[대여시간].[All]" allUniqueName="[대여현황].[대여시간].[All]" dimensionUniqueName="[대여현황]" displayFolder="" count="0" memberValueDatatype="20" unbalanced="0"/>
    <cacheHierarchy uniqueName="[대여현황].[대여비용]" caption="대여비용" attribute="1" defaultMemberUniqueName="[대여현황].[대여비용].[All]" allUniqueName="[대여현황].[대여비용].[All]" dimensionUniqueName="[대여현황]" displayFolder="" count="0" memberValueDatatype="20" unbalanced="0"/>
    <cacheHierarchy uniqueName="[자격수당].[소속지사]" caption="소속지사" attribute="1" defaultMemberUniqueName="[자격수당].[소속지사].[All]" allUniqueName="[자격수당].[소속지사].[All]" dimensionUniqueName="[자격수당]" displayFolder="" count="0" memberValueDatatype="130" unbalanced="0"/>
    <cacheHierarchy uniqueName="[자격수당].[정년날짜]" caption="정년날짜" attribute="1" time="1" defaultMemberUniqueName="[자격수당].[정년날짜].[All]" allUniqueName="[자격수당].[정년날짜].[All]" dimensionUniqueName="[자격수당]" displayFolder="" count="0" memberValueDatatype="7" unbalanced="0"/>
    <cacheHierarchy uniqueName="[자격수당].[직책]" caption="직책" attribute="1" defaultMemberUniqueName="[자격수당].[직책].[All]" allUniqueName="[자격수당].[직책].[All]" dimensionUniqueName="[자격수당]" displayFolder="" count="0" memberValueDatatype="130" unbalanced="0"/>
    <cacheHierarchy uniqueName="[자격수당].[평가점수]" caption="평가점수" attribute="1" defaultMemberUniqueName="[자격수당].[평가점수].[All]" allUniqueName="[자격수당].[평가점수].[All]" dimensionUniqueName="[자격수당]" displayFolder="" count="0" memberValueDatatype="5" unbalanced="0"/>
    <cacheHierarchy uniqueName="[자격수당].[정년날짜(연도)]" caption="정년날짜(연도)" attribute="1" defaultMemberUniqueName="[자격수당].[정년날짜(연도)].[All]" allUniqueName="[자격수당].[정년날짜(연도)].[All]" dimensionUniqueName="[자격수당]" displayFolder="" count="0" memberValueDatatype="130" unbalanced="0"/>
    <cacheHierarchy uniqueName="[자격수당].[정년날짜(분기)]" caption="정년날짜(분기)" attribute="1" defaultMemberUniqueName="[자격수당].[정년날짜(분기)].[All]" allUniqueName="[자격수당].[정년날짜(분기)].[All]" dimensionUniqueName="[자격수당]" displayFolder="" count="0" memberValueDatatype="130" unbalanced="0"/>
    <cacheHierarchy uniqueName="[자격수당].[정년날짜(월)]" caption="정년날짜(월)" attribute="1" defaultMemberUniqueName="[자격수당].[정년날짜(월)].[All]" allUniqueName="[자격수당].[정년날짜(월)].[All]" dimensionUniqueName="[자격수당]" displayFolder="" count="0" memberValueDatatype="130" unbalanced="0"/>
    <cacheHierarchy uniqueName="[재배현황01].[농작물]" caption="농작물" attribute="1" defaultMemberUniqueName="[재배현황01].[농작물].[All]" allUniqueName="[재배현황01].[농작물].[All]" dimensionUniqueName="[재배현황01]" displayFolder="" count="0" memberValueDatatype="130" unbalanced="0"/>
    <cacheHierarchy uniqueName="[재배현황01].[생산지]" caption="생산지" attribute="1" defaultMemberUniqueName="[재배현황01].[생산지].[All]" allUniqueName="[재배현황01].[생산지].[All]" dimensionUniqueName="[재배현황01]" displayFolder="" count="0" memberValueDatatype="130" unbalanced="0"/>
    <cacheHierarchy uniqueName="[재배현황01].[계약종류]" caption="계약종류" attribute="1" defaultMemberUniqueName="[재배현황01].[계약종류].[All]" allUniqueName="[재배현황01].[계약종류].[All]" dimensionUniqueName="[재배현황01]" displayFolder="" count="0" memberValueDatatype="130" unbalanced="0"/>
    <cacheHierarchy uniqueName="[재배현황01].[계약일]" caption="계약일" attribute="1" time="1" defaultMemberUniqueName="[재배현황01].[계약일].[All]" allUniqueName="[재배현황01].[계약일].[All]" dimensionUniqueName="[재배현황01]" displayFolder="" count="0" memberValueDatatype="7" unbalanced="0"/>
    <cacheHierarchy uniqueName="[재배현황01].[재배면적]" caption="재배면적" attribute="1" defaultMemberUniqueName="[재배현황01].[재배면적].[All]" allUniqueName="[재배현황01].[재배면적].[All]" dimensionUniqueName="[재배현황01]" displayFolder="" count="0" memberValueDatatype="20" unbalanced="0"/>
    <cacheHierarchy uniqueName="[재배현황01].[재배시기]" caption="재배시기" attribute="1" defaultMemberUniqueName="[재배현황01].[재배시기].[All]" allUniqueName="[재배현황01].[재배시기].[All]" dimensionUniqueName="[재배현황01]" displayFolder="" count="0" memberValueDatatype="130" unbalanced="0"/>
    <cacheHierarchy uniqueName="[재배현황01].[거래수수료]" caption="거래수수료" attribute="1" defaultMemberUniqueName="[재배현황01].[거래수수료].[All]" allUniqueName="[재배현황01].[거래수수료].[All]" dimensionUniqueName="[재배현황01]" displayFolder="" count="0" memberValueDatatype="20" unbalanced="0"/>
    <cacheHierarchy uniqueName="[자격수당].[정년날짜(월 인덱스)]" caption="정년날짜(월 인덱스)" attribute="1" defaultMemberUniqueName="[자격수당].[정년날짜(월 인덱스)].[All]" allUniqueName="[자격수당].[정년날짜(월 인덱스)].[All]" dimensionUniqueName="[자격수당]" displayFolder="" count="0" memberValueDatatype="20" unbalanced="0" hidden="1"/>
    <cacheHierarchy uniqueName="[Measures].[__XL_Count 재배현황01]" caption="__XL_Count 재배현황01" measure="1" displayFolder="" measureGroup="재배현황01" count="0" hidden="1"/>
    <cacheHierarchy uniqueName="[Measures].[__XL_Count 대여현황]" caption="__XL_Count 대여현황" measure="1" displayFolder="" measureGroup="대여현황" count="0" hidden="1"/>
    <cacheHierarchy uniqueName="[Measures].[__XL_Count 자격수당]" caption="__XL_Count 자격수당" measure="1" displayFolder="" measureGroup="자격수당" count="0" hidden="1"/>
    <cacheHierarchy uniqueName="[Measures].[__No measures defined]" caption="__No measures defined" measure="1" displayFolder="" count="0" hidden="1"/>
    <cacheHierarchy uniqueName="[Measures].[합계: 대여시간]" caption="합계: 대여시간" measure="1" displayFolder="" measureGroup="대여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대여비용]" caption="합계: 대여비용" measure="1" displayFolder="" measureGroup="대여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대여시간]" caption="평균: 대여시간" measure="1" displayFolder="" measureGroup="대여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대여비용]" caption="평균: 대여비용" measure="1" displayFolder="" measureGroup="대여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평가점수]" caption="합계: 평가점수" measure="1" displayFolder="" measureGroup="자격수당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대여현황" uniqueName="[대여현황]" caption="대여현황"/>
    <dimension name="자격수당" uniqueName="[자격수당]" caption="자격수당"/>
    <dimension name="재배현황01" uniqueName="[재배현황01]" caption="재배현황01"/>
  </dimensions>
  <measureGroups count="3">
    <measureGroup name="대여현황" caption="대여현황"/>
    <measureGroup name="자격수당" caption="자격수당"/>
    <measureGroup name="재배현황01" caption="재배현황0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37.88093634259" backgroundQuery="1" createdVersion="7" refreshedVersion="7" minRefreshableVersion="3" recordCount="0" supportSubquery="1" supportAdvancedDrill="1" xr:uid="{7B088D84-D1A6-4AB1-8BAD-0A02E6FCEE2F}">
  <cacheSource type="external" connectionId="1"/>
  <cacheFields count="5">
    <cacheField name="[자격수당].[직책].[직책]" caption="직책" numFmtId="0" hierarchy="6" level="1">
      <sharedItems containsSemiMixedTypes="0" containsNonDate="0" containsString="0"/>
    </cacheField>
    <cacheField name="[자격수당].[정년날짜].[정년날짜]" caption="정년날짜" numFmtId="0" hierarchy="5" level="1">
      <sharedItems containsSemiMixedTypes="0" containsNonDate="0" containsDate="1" containsString="0" minDate="2031-08-31T00:00:00" maxDate="2050-03-01T00:00:00" count="22">
        <d v="2034-02-28T00:00:00"/>
        <d v="2035-02-28T00:00:00"/>
        <d v="2037-02-28T00:00:00"/>
        <d v="2038-02-28T00:00:00"/>
        <d v="2039-02-28T00:00:00"/>
        <d v="2041-02-28T00:00:00"/>
        <d v="2042-02-28T00:00:00"/>
        <d v="2044-02-28T00:00:00"/>
        <d v="2047-02-28T00:00:00"/>
        <d v="2048-02-28T00:00:00"/>
        <d v="2050-02-28T00:00:00"/>
        <d v="2031-08-31T00:00:00"/>
        <d v="2032-08-31T00:00:00"/>
        <d v="2035-08-31T00:00:00"/>
        <d v="2036-08-31T00:00:00"/>
        <d v="2040-08-31T00:00:00"/>
        <d v="2041-08-31T00:00:00"/>
        <d v="2042-08-31T00:00:00"/>
        <d v="2044-08-31T00:00:00"/>
        <d v="2047-08-31T00:00:00"/>
        <d v="2048-08-31T00:00:00"/>
        <d v="2049-08-31T00:00:00"/>
      </sharedItems>
    </cacheField>
    <cacheField name="[자격수당].[정년날짜(월)].[정년날짜(월)]" caption="정년날짜(월)" numFmtId="0" hierarchy="10" level="1">
      <sharedItems count="2">
        <s v="02월"/>
        <s v="08월"/>
      </sharedItems>
    </cacheField>
    <cacheField name="[Measures].[합계: 평가점수]" caption="합계: 평가점수" numFmtId="0" hierarchy="27" level="32767"/>
    <cacheField name="[자격수당].[소속지사].[소속지사]" caption="소속지사" numFmtId="0" hierarchy="4" level="1">
      <sharedItems count="4">
        <s v="무소속"/>
        <s v="미국"/>
        <s v="한국"/>
        <s v="호주"/>
      </sharedItems>
    </cacheField>
  </cacheFields>
  <cacheHierarchies count="28">
    <cacheHierarchy uniqueName="[대여현황].[결제상태]" caption="결제상태" attribute="1" defaultMemberUniqueName="[대여현황].[결제상태].[All]" allUniqueName="[대여현황].[결제상태].[All]" dimensionUniqueName="[대여현황]" displayFolder="" count="0" memberValueDatatype="130" unbalanced="0"/>
    <cacheHierarchy uniqueName="[대여현황].[대여장비]" caption="대여장비" attribute="1" defaultMemberUniqueName="[대여현황].[대여장비].[All]" allUniqueName="[대여현황].[대여장비].[All]" dimensionUniqueName="[대여현황]" displayFolder="" count="0" memberValueDatatype="130" unbalanced="0"/>
    <cacheHierarchy uniqueName="[대여현황].[대여시간]" caption="대여시간" attribute="1" defaultMemberUniqueName="[대여현황].[대여시간].[All]" allUniqueName="[대여현황].[대여시간].[All]" dimensionUniqueName="[대여현황]" displayFolder="" count="0" memberValueDatatype="20" unbalanced="0"/>
    <cacheHierarchy uniqueName="[대여현황].[대여비용]" caption="대여비용" attribute="1" defaultMemberUniqueName="[대여현황].[대여비용].[All]" allUniqueName="[대여현황].[대여비용].[All]" dimensionUniqueName="[대여현황]" displayFolder="" count="0" memberValueDatatype="20" unbalanced="0"/>
    <cacheHierarchy uniqueName="[자격수당].[소속지사]" caption="소속지사" attribute="1" defaultMemberUniqueName="[자격수당].[소속지사].[All]" allUniqueName="[자격수당].[소속지사].[All]" dimensionUniqueName="[자격수당]" displayFolder="" count="2" memberValueDatatype="130" unbalanced="0">
      <fieldsUsage count="2">
        <fieldUsage x="-1"/>
        <fieldUsage x="4"/>
      </fieldsUsage>
    </cacheHierarchy>
    <cacheHierarchy uniqueName="[자격수당].[정년날짜]" caption="정년날짜" attribute="1" time="1" defaultMemberUniqueName="[자격수당].[정년날짜].[All]" allUniqueName="[자격수당].[정년날짜].[All]" dimensionUniqueName="[자격수당]" displayFolder="" count="2" memberValueDatatype="7" unbalanced="0">
      <fieldsUsage count="2">
        <fieldUsage x="-1"/>
        <fieldUsage x="1"/>
      </fieldsUsage>
    </cacheHierarchy>
    <cacheHierarchy uniqueName="[자격수당].[직책]" caption="직책" attribute="1" defaultMemberUniqueName="[자격수당].[직책].[All]" allUniqueName="[자격수당].[직책].[All]" dimensionUniqueName="[자격수당]" displayFolder="" count="2" memberValueDatatype="130" unbalanced="0">
      <fieldsUsage count="2">
        <fieldUsage x="-1"/>
        <fieldUsage x="0"/>
      </fieldsUsage>
    </cacheHierarchy>
    <cacheHierarchy uniqueName="[자격수당].[평가점수]" caption="평가점수" attribute="1" defaultMemberUniqueName="[자격수당].[평가점수].[All]" allUniqueName="[자격수당].[평가점수].[All]" dimensionUniqueName="[자격수당]" displayFolder="" count="0" memberValueDatatype="5" unbalanced="0"/>
    <cacheHierarchy uniqueName="[자격수당].[정년날짜(연도)]" caption="정년날짜(연도)" attribute="1" defaultMemberUniqueName="[자격수당].[정년날짜(연도)].[All]" allUniqueName="[자격수당].[정년날짜(연도)].[All]" dimensionUniqueName="[자격수당]" displayFolder="" count="2" memberValueDatatype="130" unbalanced="0"/>
    <cacheHierarchy uniqueName="[자격수당].[정년날짜(분기)]" caption="정년날짜(분기)" attribute="1" defaultMemberUniqueName="[자격수당].[정년날짜(분기)].[All]" allUniqueName="[자격수당].[정년날짜(분기)].[All]" dimensionUniqueName="[자격수당]" displayFolder="" count="2" memberValueDatatype="130" unbalanced="0"/>
    <cacheHierarchy uniqueName="[자격수당].[정년날짜(월)]" caption="정년날짜(월)" attribute="1" defaultMemberUniqueName="[자격수당].[정년날짜(월)].[All]" allUniqueName="[자격수당].[정년날짜(월)].[All]" dimensionUniqueName="[자격수당]" displayFolder="" count="2" memberValueDatatype="130" unbalanced="0">
      <fieldsUsage count="2">
        <fieldUsage x="-1"/>
        <fieldUsage x="2"/>
      </fieldsUsage>
    </cacheHierarchy>
    <cacheHierarchy uniqueName="[재배현황01].[농작물]" caption="농작물" attribute="1" defaultMemberUniqueName="[재배현황01].[농작물].[All]" allUniqueName="[재배현황01].[농작물].[All]" dimensionUniqueName="[재배현황01]" displayFolder="" count="0" memberValueDatatype="130" unbalanced="0"/>
    <cacheHierarchy uniqueName="[재배현황01].[생산지]" caption="생산지" attribute="1" defaultMemberUniqueName="[재배현황01].[생산지].[All]" allUniqueName="[재배현황01].[생산지].[All]" dimensionUniqueName="[재배현황01]" displayFolder="" count="0" memberValueDatatype="130" unbalanced="0"/>
    <cacheHierarchy uniqueName="[재배현황01].[계약종류]" caption="계약종류" attribute="1" defaultMemberUniqueName="[재배현황01].[계약종류].[All]" allUniqueName="[재배현황01].[계약종류].[All]" dimensionUniqueName="[재배현황01]" displayFolder="" count="0" memberValueDatatype="130" unbalanced="0"/>
    <cacheHierarchy uniqueName="[재배현황01].[계약일]" caption="계약일" attribute="1" time="1" defaultMemberUniqueName="[재배현황01].[계약일].[All]" allUniqueName="[재배현황01].[계약일].[All]" dimensionUniqueName="[재배현황01]" displayFolder="" count="0" memberValueDatatype="7" unbalanced="0"/>
    <cacheHierarchy uniqueName="[재배현황01].[재배면적]" caption="재배면적" attribute="1" defaultMemberUniqueName="[재배현황01].[재배면적].[All]" allUniqueName="[재배현황01].[재배면적].[All]" dimensionUniqueName="[재배현황01]" displayFolder="" count="0" memberValueDatatype="20" unbalanced="0"/>
    <cacheHierarchy uniqueName="[재배현황01].[재배시기]" caption="재배시기" attribute="1" defaultMemberUniqueName="[재배현황01].[재배시기].[All]" allUniqueName="[재배현황01].[재배시기].[All]" dimensionUniqueName="[재배현황01]" displayFolder="" count="0" memberValueDatatype="130" unbalanced="0"/>
    <cacheHierarchy uniqueName="[재배현황01].[거래수수료]" caption="거래수수료" attribute="1" defaultMemberUniqueName="[재배현황01].[거래수수료].[All]" allUniqueName="[재배현황01].[거래수수료].[All]" dimensionUniqueName="[재배현황01]" displayFolder="" count="0" memberValueDatatype="20" unbalanced="0"/>
    <cacheHierarchy uniqueName="[자격수당].[정년날짜(월 인덱스)]" caption="정년날짜(월 인덱스)" attribute="1" defaultMemberUniqueName="[자격수당].[정년날짜(월 인덱스)].[All]" allUniqueName="[자격수당].[정년날짜(월 인덱스)].[All]" dimensionUniqueName="[자격수당]" displayFolder="" count="0" memberValueDatatype="20" unbalanced="0" hidden="1"/>
    <cacheHierarchy uniqueName="[Measures].[__XL_Count 재배현황01]" caption="__XL_Count 재배현황01" measure="1" displayFolder="" measureGroup="재배현황01" count="0" hidden="1"/>
    <cacheHierarchy uniqueName="[Measures].[__XL_Count 대여현황]" caption="__XL_Count 대여현황" measure="1" displayFolder="" measureGroup="대여현황" count="0" hidden="1"/>
    <cacheHierarchy uniqueName="[Measures].[__XL_Count 자격수당]" caption="__XL_Count 자격수당" measure="1" displayFolder="" measureGroup="자격수당" count="0" hidden="1"/>
    <cacheHierarchy uniqueName="[Measures].[__No measures defined]" caption="__No measures defined" measure="1" displayFolder="" count="0" hidden="1"/>
    <cacheHierarchy uniqueName="[Measures].[합계: 대여시간]" caption="합계: 대여시간" measure="1" displayFolder="" measureGroup="대여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대여비용]" caption="합계: 대여비용" measure="1" displayFolder="" measureGroup="대여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대여시간]" caption="평균: 대여시간" measure="1" displayFolder="" measureGroup="대여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대여비용]" caption="평균: 대여비용" measure="1" displayFolder="" measureGroup="대여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평가점수]" caption="합계: 평가점수" measure="1" displayFolder="" measureGroup="자격수당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대여현황" uniqueName="[대여현황]" caption="대여현황"/>
    <dimension name="자격수당" uniqueName="[자격수당]" caption="자격수당"/>
    <dimension name="재배현황01" uniqueName="[재배현황01]" caption="재배현황01"/>
  </dimensions>
  <measureGroups count="3">
    <measureGroup name="대여현황" caption="대여현황"/>
    <measureGroup name="자격수당" caption="자격수당"/>
    <measureGroup name="재배현황01" caption="재배현황0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37.882642939818" backgroundQuery="1" createdVersion="7" refreshedVersion="7" minRefreshableVersion="3" recordCount="26" xr:uid="{E627119E-2672-47E0-926D-A9EC62C1792C}">
  <cacheSource type="external" connectionId="3"/>
  <cacheFields count="9">
    <cacheField name="연구원ID" numFmtId="0">
      <sharedItems count="26">
        <s v="ANS-10"/>
        <s v="ANS-95"/>
        <s v="ANS-11"/>
        <s v="ANS-16"/>
        <s v="ANS-03"/>
        <s v="CIE-09"/>
        <s v="CIE-29"/>
        <s v="ANS-62"/>
        <s v="CIE-83"/>
        <s v="CIE-78"/>
        <s v="CIE-56"/>
        <s v="CIE-14"/>
        <s v="CIE-93"/>
        <s v="ANS-74"/>
        <s v="CIE-61"/>
        <s v="CIE-38"/>
        <s v="ANS-99"/>
        <s v="ANS-91"/>
        <s v="CIE-24"/>
        <s v="CIE-89"/>
        <s v="ANS-56"/>
        <s v="ANS-81"/>
        <s v="CIE-53"/>
        <s v="ANS-07"/>
        <s v="CIE-43"/>
        <s v="CIE-22"/>
      </sharedItems>
      <fieldGroup par="8"/>
    </cacheField>
    <cacheField name="이름" numFmtId="0">
      <sharedItems count="26">
        <s v="서송민"/>
        <s v="안해슬"/>
        <s v="주여원"/>
        <s v="강승후"/>
        <s v="배윤채"/>
        <s v="문초연"/>
        <s v="서성은"/>
        <s v="문태윤"/>
        <s v="임송빈"/>
        <s v="전성찬"/>
        <s v="유윤섬"/>
        <s v="조정민"/>
        <s v="임혜은"/>
        <s v="문채이"/>
        <s v="장종연"/>
        <s v="송동우"/>
        <s v="홍여혜"/>
        <s v="손상우"/>
        <s v="황성은"/>
        <s v="서효린"/>
        <s v="송명재"/>
        <s v="손현후"/>
        <s v="권준호"/>
        <s v="윤명재"/>
        <s v="조호정"/>
        <s v="남송빈"/>
      </sharedItems>
    </cacheField>
    <cacheField name="연구분야" numFmtId="0">
      <sharedItems count="3">
        <s v="광자통신"/>
        <s v="재생에너지"/>
        <s v="인공지능"/>
      </sharedItems>
    </cacheField>
    <cacheField name="내부평가" numFmtId="0">
      <sharedItems containsSemiMixedTypes="0" containsString="0" containsNumber="1" containsInteger="1" minValue="17" maxValue="50" count="19">
        <n v="38"/>
        <n v="50"/>
        <n v="39"/>
        <n v="27"/>
        <n v="17"/>
        <n v="41"/>
        <n v="40"/>
        <n v="46"/>
        <n v="35"/>
        <n v="22"/>
        <n v="48"/>
        <n v="47"/>
        <n v="32"/>
        <n v="45"/>
        <n v="29"/>
        <n v="23"/>
        <n v="36"/>
        <n v="24"/>
        <n v="42"/>
      </sharedItems>
    </cacheField>
    <cacheField name="외부평가" numFmtId="0">
      <sharedItems containsSemiMixedTypes="0" containsString="0" containsNumber="1" containsInteger="1" minValue="17" maxValue="50" count="21">
        <n v="40"/>
        <n v="25"/>
        <n v="42"/>
        <n v="32"/>
        <n v="45"/>
        <n v="39"/>
        <n v="41"/>
        <n v="34"/>
        <n v="35"/>
        <n v="17"/>
        <n v="49"/>
        <n v="38"/>
        <n v="46"/>
        <n v="50"/>
        <n v="47"/>
        <n v="26"/>
        <n v="22"/>
        <n v="29"/>
        <n v="30"/>
        <n v="44"/>
        <n v="31"/>
      </sharedItems>
    </cacheField>
    <cacheField name="연구점수" numFmtId="0">
      <sharedItems containsSemiMixedTypes="0" containsString="0" containsNumber="1" containsInteger="1" minValue="32" maxValue="99" count="22">
        <n v="37"/>
        <n v="53"/>
        <n v="50"/>
        <n v="87"/>
        <n v="54"/>
        <n v="71"/>
        <n v="61"/>
        <n v="32"/>
        <n v="94"/>
        <n v="55"/>
        <n v="57"/>
        <n v="81"/>
        <n v="99"/>
        <n v="78"/>
        <n v="41"/>
        <n v="34"/>
        <n v="43"/>
        <n v="58"/>
        <n v="38"/>
        <n v="66"/>
        <n v="46"/>
        <n v="93"/>
      </sharedItems>
    </cacheField>
    <cacheField name="연구원평가" numFmtId="0">
      <sharedItems count="6">
        <s v="C"/>
        <s v="B"/>
        <s v="D"/>
        <s v="F"/>
        <s v="E"/>
        <s v="A"/>
      </sharedItems>
    </cacheField>
    <cacheField name="총점" numFmtId="0" formula=" SUM(내부평가,외부평가,연구점수)" databaseField="0"/>
    <cacheField name="연구원ID2" numFmtId="0" databaseField="0">
      <fieldGroup base="0">
        <discretePr count="26">
          <x v="0"/>
          <x v="1"/>
          <x v="2"/>
          <x v="3"/>
          <x v="4"/>
          <x v="5"/>
          <x v="6"/>
          <x v="7"/>
          <x v="8"/>
          <x v="9"/>
          <x v="10"/>
          <x v="11"/>
          <x v="12"/>
          <x v="13"/>
          <x v="14"/>
          <x v="15"/>
          <x v="24"/>
          <x v="16"/>
          <x v="17"/>
          <x v="18"/>
          <x v="19"/>
          <x v="20"/>
          <x v="21"/>
          <x v="24"/>
          <x v="22"/>
          <x v="23"/>
        </discretePr>
        <groupItems count="25">
          <s v="ANS-10"/>
          <s v="ANS-95"/>
          <s v="ANS-11"/>
          <s v="ANS-16"/>
          <s v="ANS-03"/>
          <s v="CIE-09"/>
          <s v="CIE-29"/>
          <s v="ANS-62"/>
          <s v="CIE-83"/>
          <s v="CIE-78"/>
          <s v="CIE-56"/>
          <s v="CIE-14"/>
          <s v="CIE-93"/>
          <s v="ANS-74"/>
          <s v="CIE-61"/>
          <s v="CIE-38"/>
          <s v="ANS-91"/>
          <s v="CIE-24"/>
          <s v="CIE-89"/>
          <s v="ANS-56"/>
          <s v="ANS-81"/>
          <s v="CIE-53"/>
          <s v="CIE-43"/>
          <s v="CIE-22"/>
          <s v="그룹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</r>
  <r>
    <x v="1"/>
    <x v="1"/>
    <x v="0"/>
    <x v="1"/>
    <x v="1"/>
    <x v="0"/>
    <x v="1"/>
    <x v="1"/>
  </r>
  <r>
    <x v="2"/>
    <x v="1"/>
    <x v="0"/>
    <x v="2"/>
    <x v="2"/>
    <x v="1"/>
    <x v="1"/>
    <x v="2"/>
  </r>
  <r>
    <x v="2"/>
    <x v="0"/>
    <x v="1"/>
    <x v="3"/>
    <x v="3"/>
    <x v="1"/>
    <x v="2"/>
    <x v="3"/>
  </r>
  <r>
    <x v="3"/>
    <x v="2"/>
    <x v="1"/>
    <x v="4"/>
    <x v="4"/>
    <x v="2"/>
    <x v="2"/>
    <x v="4"/>
  </r>
  <r>
    <x v="4"/>
    <x v="0"/>
    <x v="1"/>
    <x v="5"/>
    <x v="5"/>
    <x v="2"/>
    <x v="1"/>
    <x v="5"/>
  </r>
  <r>
    <x v="4"/>
    <x v="1"/>
    <x v="1"/>
    <x v="6"/>
    <x v="6"/>
    <x v="3"/>
    <x v="1"/>
    <x v="6"/>
  </r>
  <r>
    <x v="3"/>
    <x v="3"/>
    <x v="0"/>
    <x v="7"/>
    <x v="7"/>
    <x v="1"/>
    <x v="2"/>
    <x v="1"/>
  </r>
  <r>
    <x v="0"/>
    <x v="3"/>
    <x v="1"/>
    <x v="8"/>
    <x v="8"/>
    <x v="3"/>
    <x v="1"/>
    <x v="3"/>
  </r>
  <r>
    <x v="1"/>
    <x v="0"/>
    <x v="0"/>
    <x v="9"/>
    <x v="9"/>
    <x v="3"/>
    <x v="1"/>
    <x v="7"/>
  </r>
  <r>
    <x v="2"/>
    <x v="0"/>
    <x v="1"/>
    <x v="10"/>
    <x v="10"/>
    <x v="2"/>
    <x v="1"/>
    <x v="1"/>
  </r>
  <r>
    <x v="3"/>
    <x v="1"/>
    <x v="1"/>
    <x v="11"/>
    <x v="11"/>
    <x v="2"/>
    <x v="1"/>
    <x v="8"/>
  </r>
  <r>
    <x v="3"/>
    <x v="3"/>
    <x v="1"/>
    <x v="12"/>
    <x v="12"/>
    <x v="2"/>
    <x v="0"/>
    <x v="8"/>
  </r>
  <r>
    <x v="2"/>
    <x v="1"/>
    <x v="0"/>
    <x v="13"/>
    <x v="13"/>
    <x v="3"/>
    <x v="0"/>
    <x v="0"/>
  </r>
  <r>
    <x v="0"/>
    <x v="3"/>
    <x v="1"/>
    <x v="14"/>
    <x v="14"/>
    <x v="1"/>
    <x v="0"/>
    <x v="9"/>
  </r>
  <r>
    <x v="1"/>
    <x v="0"/>
    <x v="1"/>
    <x v="15"/>
    <x v="15"/>
    <x v="2"/>
    <x v="2"/>
    <x v="10"/>
  </r>
  <r>
    <x v="2"/>
    <x v="3"/>
    <x v="0"/>
    <x v="16"/>
    <x v="16"/>
    <x v="2"/>
    <x v="1"/>
    <x v="1"/>
  </r>
  <r>
    <x v="0"/>
    <x v="2"/>
    <x v="1"/>
    <x v="17"/>
    <x v="17"/>
    <x v="3"/>
    <x v="2"/>
    <x v="3"/>
  </r>
  <r>
    <x v="2"/>
    <x v="1"/>
    <x v="0"/>
    <x v="18"/>
    <x v="18"/>
    <x v="2"/>
    <x v="2"/>
    <x v="1"/>
  </r>
  <r>
    <x v="1"/>
    <x v="1"/>
    <x v="1"/>
    <x v="19"/>
    <x v="19"/>
    <x v="2"/>
    <x v="2"/>
    <x v="3"/>
  </r>
  <r>
    <x v="4"/>
    <x v="0"/>
    <x v="1"/>
    <x v="20"/>
    <x v="20"/>
    <x v="2"/>
    <x v="0"/>
    <x v="3"/>
  </r>
  <r>
    <x v="0"/>
    <x v="0"/>
    <x v="0"/>
    <x v="11"/>
    <x v="21"/>
    <x v="2"/>
    <x v="1"/>
    <x v="11"/>
  </r>
  <r>
    <x v="4"/>
    <x v="2"/>
    <x v="0"/>
    <x v="21"/>
    <x v="22"/>
    <x v="0"/>
    <x v="2"/>
    <x v="12"/>
  </r>
  <r>
    <x v="3"/>
    <x v="2"/>
    <x v="1"/>
    <x v="22"/>
    <x v="23"/>
    <x v="3"/>
    <x v="1"/>
    <x v="13"/>
  </r>
  <r>
    <x v="0"/>
    <x v="2"/>
    <x v="0"/>
    <x v="23"/>
    <x v="24"/>
    <x v="1"/>
    <x v="1"/>
    <x v="14"/>
  </r>
  <r>
    <x v="1"/>
    <x v="3"/>
    <x v="1"/>
    <x v="24"/>
    <x v="25"/>
    <x v="0"/>
    <x v="1"/>
    <x v="3"/>
  </r>
  <r>
    <x v="4"/>
    <x v="2"/>
    <x v="1"/>
    <x v="25"/>
    <x v="26"/>
    <x v="1"/>
    <x v="1"/>
    <x v="0"/>
  </r>
  <r>
    <x v="1"/>
    <x v="3"/>
    <x v="0"/>
    <x v="26"/>
    <x v="27"/>
    <x v="3"/>
    <x v="2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</r>
  <r>
    <x v="1"/>
    <x v="1"/>
    <x v="0"/>
    <x v="1"/>
    <x v="1"/>
    <x v="0"/>
    <x v="1"/>
    <x v="1"/>
  </r>
  <r>
    <x v="2"/>
    <x v="1"/>
    <x v="0"/>
    <x v="2"/>
    <x v="2"/>
    <x v="1"/>
    <x v="1"/>
    <x v="2"/>
  </r>
  <r>
    <x v="2"/>
    <x v="0"/>
    <x v="1"/>
    <x v="3"/>
    <x v="3"/>
    <x v="1"/>
    <x v="2"/>
    <x v="3"/>
  </r>
  <r>
    <x v="3"/>
    <x v="2"/>
    <x v="1"/>
    <x v="4"/>
    <x v="4"/>
    <x v="2"/>
    <x v="2"/>
    <x v="4"/>
  </r>
  <r>
    <x v="4"/>
    <x v="0"/>
    <x v="1"/>
    <x v="5"/>
    <x v="5"/>
    <x v="2"/>
    <x v="1"/>
    <x v="5"/>
  </r>
  <r>
    <x v="4"/>
    <x v="1"/>
    <x v="1"/>
    <x v="6"/>
    <x v="6"/>
    <x v="3"/>
    <x v="1"/>
    <x v="6"/>
  </r>
  <r>
    <x v="3"/>
    <x v="3"/>
    <x v="0"/>
    <x v="7"/>
    <x v="7"/>
    <x v="1"/>
    <x v="2"/>
    <x v="1"/>
  </r>
  <r>
    <x v="0"/>
    <x v="3"/>
    <x v="1"/>
    <x v="8"/>
    <x v="8"/>
    <x v="3"/>
    <x v="1"/>
    <x v="3"/>
  </r>
  <r>
    <x v="1"/>
    <x v="0"/>
    <x v="0"/>
    <x v="9"/>
    <x v="9"/>
    <x v="3"/>
    <x v="1"/>
    <x v="7"/>
  </r>
  <r>
    <x v="2"/>
    <x v="0"/>
    <x v="1"/>
    <x v="10"/>
    <x v="10"/>
    <x v="2"/>
    <x v="1"/>
    <x v="1"/>
  </r>
  <r>
    <x v="3"/>
    <x v="1"/>
    <x v="1"/>
    <x v="11"/>
    <x v="11"/>
    <x v="2"/>
    <x v="1"/>
    <x v="8"/>
  </r>
  <r>
    <x v="3"/>
    <x v="3"/>
    <x v="1"/>
    <x v="12"/>
    <x v="12"/>
    <x v="2"/>
    <x v="0"/>
    <x v="8"/>
  </r>
  <r>
    <x v="2"/>
    <x v="1"/>
    <x v="0"/>
    <x v="13"/>
    <x v="13"/>
    <x v="3"/>
    <x v="0"/>
    <x v="0"/>
  </r>
  <r>
    <x v="0"/>
    <x v="3"/>
    <x v="1"/>
    <x v="14"/>
    <x v="14"/>
    <x v="1"/>
    <x v="0"/>
    <x v="9"/>
  </r>
  <r>
    <x v="1"/>
    <x v="0"/>
    <x v="1"/>
    <x v="15"/>
    <x v="15"/>
    <x v="2"/>
    <x v="2"/>
    <x v="10"/>
  </r>
  <r>
    <x v="2"/>
    <x v="3"/>
    <x v="0"/>
    <x v="16"/>
    <x v="16"/>
    <x v="2"/>
    <x v="1"/>
    <x v="1"/>
  </r>
  <r>
    <x v="0"/>
    <x v="2"/>
    <x v="1"/>
    <x v="17"/>
    <x v="17"/>
    <x v="3"/>
    <x v="2"/>
    <x v="3"/>
  </r>
  <r>
    <x v="2"/>
    <x v="1"/>
    <x v="0"/>
    <x v="18"/>
    <x v="18"/>
    <x v="2"/>
    <x v="2"/>
    <x v="1"/>
  </r>
  <r>
    <x v="1"/>
    <x v="1"/>
    <x v="1"/>
    <x v="19"/>
    <x v="19"/>
    <x v="2"/>
    <x v="2"/>
    <x v="3"/>
  </r>
  <r>
    <x v="4"/>
    <x v="0"/>
    <x v="1"/>
    <x v="20"/>
    <x v="20"/>
    <x v="2"/>
    <x v="0"/>
    <x v="3"/>
  </r>
  <r>
    <x v="0"/>
    <x v="0"/>
    <x v="0"/>
    <x v="11"/>
    <x v="21"/>
    <x v="2"/>
    <x v="1"/>
    <x v="11"/>
  </r>
  <r>
    <x v="4"/>
    <x v="2"/>
    <x v="0"/>
    <x v="21"/>
    <x v="22"/>
    <x v="0"/>
    <x v="2"/>
    <x v="12"/>
  </r>
  <r>
    <x v="3"/>
    <x v="2"/>
    <x v="1"/>
    <x v="22"/>
    <x v="23"/>
    <x v="3"/>
    <x v="1"/>
    <x v="13"/>
  </r>
  <r>
    <x v="0"/>
    <x v="2"/>
    <x v="0"/>
    <x v="23"/>
    <x v="24"/>
    <x v="1"/>
    <x v="1"/>
    <x v="14"/>
  </r>
  <r>
    <x v="1"/>
    <x v="3"/>
    <x v="1"/>
    <x v="24"/>
    <x v="25"/>
    <x v="0"/>
    <x v="1"/>
    <x v="3"/>
  </r>
  <r>
    <x v="4"/>
    <x v="2"/>
    <x v="1"/>
    <x v="25"/>
    <x v="26"/>
    <x v="1"/>
    <x v="1"/>
    <x v="0"/>
  </r>
  <r>
    <x v="1"/>
    <x v="3"/>
    <x v="0"/>
    <x v="26"/>
    <x v="27"/>
    <x v="3"/>
    <x v="2"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n v="87"/>
    <n v="77"/>
    <n v="82"/>
  </r>
  <r>
    <x v="1"/>
    <n v="97"/>
    <n v="90"/>
    <n v="57"/>
  </r>
  <r>
    <x v="2"/>
    <n v="66"/>
    <n v="55"/>
    <n v="68"/>
  </r>
  <r>
    <x v="3"/>
    <n v="99"/>
    <n v="72"/>
    <n v="79"/>
  </r>
  <r>
    <x v="4"/>
    <n v="96"/>
    <n v="58"/>
    <n v="82"/>
  </r>
  <r>
    <x v="4"/>
    <n v="56"/>
    <n v="68"/>
    <n v="99"/>
  </r>
  <r>
    <x v="4"/>
    <n v="68"/>
    <n v="96"/>
    <n v="95"/>
  </r>
  <r>
    <x v="4"/>
    <n v="80"/>
    <n v="85"/>
    <n v="80"/>
  </r>
  <r>
    <x v="4"/>
    <n v="66"/>
    <n v="96"/>
    <n v="75"/>
  </r>
  <r>
    <x v="4"/>
    <n v="63"/>
    <n v="90"/>
    <n v="64"/>
  </r>
  <r>
    <x v="4"/>
    <n v="94"/>
    <n v="95"/>
    <n v="71"/>
  </r>
  <r>
    <x v="4"/>
    <n v="55"/>
    <n v="68"/>
    <n v="58"/>
  </r>
  <r>
    <x v="4"/>
    <n v="56"/>
    <n v="69"/>
    <n v="77"/>
  </r>
  <r>
    <x v="4"/>
    <n v="58"/>
    <n v="74"/>
    <n v="5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0"/>
    <x v="1"/>
  </r>
  <r>
    <x v="2"/>
    <x v="2"/>
    <x v="2"/>
    <x v="2"/>
    <x v="1"/>
    <x v="2"/>
    <x v="2"/>
    <x v="2"/>
    <x v="1"/>
    <x v="2"/>
  </r>
  <r>
    <x v="3"/>
    <x v="3"/>
    <x v="3"/>
    <x v="2"/>
    <x v="2"/>
    <x v="3"/>
    <x v="3"/>
    <x v="1"/>
    <x v="1"/>
    <x v="3"/>
  </r>
  <r>
    <x v="4"/>
    <x v="4"/>
    <x v="0"/>
    <x v="3"/>
    <x v="2"/>
    <x v="4"/>
    <x v="0"/>
    <x v="0"/>
    <x v="1"/>
    <x v="4"/>
  </r>
  <r>
    <x v="5"/>
    <x v="5"/>
    <x v="0"/>
    <x v="2"/>
    <x v="0"/>
    <x v="5"/>
    <x v="0"/>
    <x v="2"/>
    <x v="2"/>
    <x v="5"/>
  </r>
  <r>
    <x v="6"/>
    <x v="6"/>
    <x v="2"/>
    <x v="4"/>
    <x v="3"/>
    <x v="6"/>
    <x v="2"/>
    <x v="2"/>
    <x v="1"/>
    <x v="6"/>
  </r>
  <r>
    <x v="7"/>
    <x v="7"/>
    <x v="2"/>
    <x v="5"/>
    <x v="4"/>
    <x v="7"/>
    <x v="2"/>
    <x v="1"/>
    <x v="2"/>
    <x v="7"/>
  </r>
  <r>
    <x v="8"/>
    <x v="8"/>
    <x v="0"/>
    <x v="4"/>
    <x v="5"/>
    <x v="8"/>
    <x v="0"/>
    <x v="1"/>
    <x v="2"/>
    <x v="8"/>
  </r>
  <r>
    <x v="9"/>
    <x v="9"/>
    <x v="0"/>
    <x v="5"/>
    <x v="1"/>
    <x v="9"/>
    <x v="0"/>
    <x v="1"/>
    <x v="2"/>
    <x v="9"/>
  </r>
  <r>
    <x v="10"/>
    <x v="10"/>
    <x v="1"/>
    <x v="1"/>
    <x v="3"/>
    <x v="10"/>
    <x v="1"/>
    <x v="0"/>
    <x v="1"/>
    <x v="10"/>
  </r>
  <r>
    <x v="11"/>
    <x v="11"/>
    <x v="0"/>
    <x v="1"/>
    <x v="2"/>
    <x v="2"/>
    <x v="0"/>
    <x v="0"/>
    <x v="1"/>
    <x v="11"/>
  </r>
  <r>
    <x v="12"/>
    <x v="12"/>
    <x v="2"/>
    <x v="5"/>
    <x v="2"/>
    <x v="11"/>
    <x v="2"/>
    <x v="0"/>
    <x v="1"/>
    <x v="12"/>
  </r>
  <r>
    <x v="13"/>
    <x v="13"/>
    <x v="0"/>
    <x v="4"/>
    <x v="2"/>
    <x v="12"/>
    <x v="0"/>
    <x v="0"/>
    <x v="2"/>
    <x v="13"/>
  </r>
  <r>
    <x v="14"/>
    <x v="14"/>
    <x v="3"/>
    <x v="6"/>
    <x v="0"/>
    <x v="13"/>
    <x v="3"/>
    <x v="1"/>
    <x v="0"/>
    <x v="14"/>
  </r>
  <r>
    <x v="15"/>
    <x v="15"/>
    <x v="2"/>
    <x v="5"/>
    <x v="6"/>
    <x v="14"/>
    <x v="2"/>
    <x v="2"/>
    <x v="2"/>
    <x v="15"/>
  </r>
  <r>
    <x v="16"/>
    <x v="16"/>
    <x v="4"/>
    <x v="5"/>
    <x v="4"/>
    <x v="15"/>
    <x v="4"/>
    <x v="1"/>
    <x v="1"/>
    <x v="16"/>
  </r>
  <r>
    <x v="17"/>
    <x v="17"/>
    <x v="1"/>
    <x v="5"/>
    <x v="7"/>
    <x v="1"/>
    <x v="1"/>
    <x v="0"/>
    <x v="0"/>
    <x v="17"/>
  </r>
  <r>
    <x v="18"/>
    <x v="18"/>
    <x v="0"/>
    <x v="5"/>
    <x v="8"/>
    <x v="16"/>
    <x v="0"/>
    <x v="0"/>
    <x v="1"/>
    <x v="18"/>
  </r>
  <r>
    <x v="19"/>
    <x v="19"/>
    <x v="4"/>
    <x v="2"/>
    <x v="0"/>
    <x v="17"/>
    <x v="4"/>
    <x v="2"/>
    <x v="2"/>
    <x v="19"/>
  </r>
  <r>
    <x v="20"/>
    <x v="20"/>
    <x v="0"/>
    <x v="1"/>
    <x v="2"/>
    <x v="9"/>
    <x v="0"/>
    <x v="1"/>
    <x v="1"/>
    <x v="20"/>
  </r>
  <r>
    <x v="21"/>
    <x v="21"/>
    <x v="2"/>
    <x v="0"/>
    <x v="4"/>
    <x v="18"/>
    <x v="2"/>
    <x v="2"/>
    <x v="0"/>
    <x v="21"/>
  </r>
  <r>
    <x v="22"/>
    <x v="22"/>
    <x v="4"/>
    <x v="7"/>
    <x v="2"/>
    <x v="19"/>
    <x v="4"/>
    <x v="0"/>
    <x v="0"/>
    <x v="22"/>
  </r>
  <r>
    <x v="23"/>
    <x v="23"/>
    <x v="4"/>
    <x v="5"/>
    <x v="9"/>
    <x v="20"/>
    <x v="4"/>
    <x v="1"/>
    <x v="1"/>
    <x v="23"/>
  </r>
  <r>
    <x v="24"/>
    <x v="24"/>
    <x v="2"/>
    <x v="2"/>
    <x v="5"/>
    <x v="8"/>
    <x v="2"/>
    <x v="2"/>
    <x v="2"/>
    <x v="24"/>
  </r>
  <r>
    <x v="25"/>
    <x v="25"/>
    <x v="3"/>
    <x v="1"/>
    <x v="4"/>
    <x v="21"/>
    <x v="3"/>
    <x v="2"/>
    <x v="1"/>
    <x v="25"/>
  </r>
  <r>
    <x v="26"/>
    <x v="26"/>
    <x v="2"/>
    <x v="3"/>
    <x v="5"/>
    <x v="22"/>
    <x v="2"/>
    <x v="1"/>
    <x v="0"/>
    <x v="2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2"/>
    <x v="2"/>
    <x v="2"/>
    <x v="2"/>
    <x v="2"/>
  </r>
  <r>
    <x v="3"/>
    <x v="3"/>
    <x v="3"/>
    <x v="3"/>
    <x v="1"/>
    <x v="3"/>
    <x v="3"/>
  </r>
  <r>
    <x v="4"/>
    <x v="4"/>
    <x v="0"/>
    <x v="4"/>
    <x v="3"/>
    <x v="4"/>
    <x v="4"/>
  </r>
  <r>
    <x v="5"/>
    <x v="5"/>
    <x v="1"/>
    <x v="5"/>
    <x v="4"/>
    <x v="5"/>
    <x v="5"/>
  </r>
  <r>
    <x v="6"/>
    <x v="6"/>
    <x v="1"/>
    <x v="6"/>
    <x v="5"/>
    <x v="6"/>
    <x v="6"/>
  </r>
  <r>
    <x v="7"/>
    <x v="7"/>
    <x v="2"/>
    <x v="7"/>
    <x v="2"/>
    <x v="7"/>
    <x v="2"/>
  </r>
  <r>
    <x v="8"/>
    <x v="8"/>
    <x v="3"/>
    <x v="8"/>
    <x v="0"/>
    <x v="8"/>
    <x v="7"/>
  </r>
  <r>
    <x v="9"/>
    <x v="9"/>
    <x v="0"/>
    <x v="9"/>
    <x v="6"/>
    <x v="9"/>
    <x v="8"/>
  </r>
  <r>
    <x v="10"/>
    <x v="10"/>
    <x v="1"/>
    <x v="10"/>
    <x v="3"/>
    <x v="10"/>
    <x v="9"/>
  </r>
  <r>
    <x v="11"/>
    <x v="11"/>
    <x v="2"/>
    <x v="11"/>
    <x v="1"/>
    <x v="0"/>
    <x v="10"/>
  </r>
  <r>
    <x v="12"/>
    <x v="12"/>
    <x v="2"/>
    <x v="12"/>
    <x v="7"/>
    <x v="11"/>
    <x v="11"/>
  </r>
  <r>
    <x v="13"/>
    <x v="13"/>
    <x v="1"/>
    <x v="13"/>
    <x v="0"/>
    <x v="12"/>
    <x v="12"/>
  </r>
  <r>
    <x v="14"/>
    <x v="14"/>
    <x v="3"/>
    <x v="14"/>
    <x v="3"/>
    <x v="13"/>
    <x v="13"/>
  </r>
  <r>
    <x v="15"/>
    <x v="15"/>
    <x v="0"/>
    <x v="15"/>
    <x v="8"/>
    <x v="14"/>
    <x v="14"/>
  </r>
  <r>
    <x v="16"/>
    <x v="16"/>
    <x v="1"/>
    <x v="16"/>
    <x v="9"/>
    <x v="15"/>
    <x v="15"/>
  </r>
  <r>
    <x v="17"/>
    <x v="17"/>
    <x v="1"/>
    <x v="17"/>
    <x v="3"/>
    <x v="16"/>
    <x v="9"/>
  </r>
  <r>
    <x v="18"/>
    <x v="18"/>
    <x v="1"/>
    <x v="18"/>
    <x v="1"/>
    <x v="17"/>
    <x v="1"/>
  </r>
  <r>
    <x v="19"/>
    <x v="19"/>
    <x v="1"/>
    <x v="19"/>
    <x v="10"/>
    <x v="18"/>
    <x v="16"/>
  </r>
  <r>
    <x v="20"/>
    <x v="20"/>
    <x v="3"/>
    <x v="1"/>
    <x v="0"/>
    <x v="19"/>
    <x v="7"/>
  </r>
  <r>
    <x v="21"/>
    <x v="21"/>
    <x v="0"/>
    <x v="20"/>
    <x v="11"/>
    <x v="20"/>
    <x v="17"/>
  </r>
  <r>
    <x v="22"/>
    <x v="22"/>
    <x v="3"/>
    <x v="18"/>
    <x v="0"/>
    <x v="21"/>
    <x v="7"/>
  </r>
  <r>
    <x v="23"/>
    <x v="23"/>
    <x v="2"/>
    <x v="21"/>
    <x v="12"/>
    <x v="22"/>
    <x v="18"/>
  </r>
  <r>
    <x v="24"/>
    <x v="24"/>
    <x v="0"/>
    <x v="22"/>
    <x v="13"/>
    <x v="23"/>
    <x v="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x v="0"/>
    <x v="0"/>
    <x v="0"/>
    <x v="0"/>
  </r>
  <r>
    <x v="1"/>
    <x v="1"/>
    <x v="1"/>
    <x v="1"/>
    <x v="1"/>
    <x v="1"/>
    <x v="0"/>
  </r>
  <r>
    <x v="2"/>
    <x v="2"/>
    <x v="1"/>
    <x v="2"/>
    <x v="2"/>
    <x v="2"/>
    <x v="1"/>
  </r>
  <r>
    <x v="3"/>
    <x v="3"/>
    <x v="0"/>
    <x v="3"/>
    <x v="0"/>
    <x v="3"/>
    <x v="2"/>
  </r>
  <r>
    <x v="4"/>
    <x v="4"/>
    <x v="0"/>
    <x v="4"/>
    <x v="3"/>
    <x v="4"/>
    <x v="3"/>
  </r>
  <r>
    <x v="5"/>
    <x v="5"/>
    <x v="2"/>
    <x v="5"/>
    <x v="4"/>
    <x v="5"/>
    <x v="1"/>
  </r>
  <r>
    <x v="6"/>
    <x v="6"/>
    <x v="1"/>
    <x v="6"/>
    <x v="5"/>
    <x v="6"/>
    <x v="0"/>
  </r>
  <r>
    <x v="7"/>
    <x v="7"/>
    <x v="0"/>
    <x v="7"/>
    <x v="6"/>
    <x v="7"/>
    <x v="1"/>
  </r>
  <r>
    <x v="8"/>
    <x v="8"/>
    <x v="0"/>
    <x v="8"/>
    <x v="3"/>
    <x v="8"/>
    <x v="2"/>
  </r>
  <r>
    <x v="9"/>
    <x v="9"/>
    <x v="2"/>
    <x v="9"/>
    <x v="7"/>
    <x v="9"/>
    <x v="4"/>
  </r>
  <r>
    <x v="10"/>
    <x v="10"/>
    <x v="1"/>
    <x v="9"/>
    <x v="3"/>
    <x v="10"/>
    <x v="4"/>
  </r>
  <r>
    <x v="11"/>
    <x v="11"/>
    <x v="1"/>
    <x v="10"/>
    <x v="8"/>
    <x v="11"/>
    <x v="1"/>
  </r>
  <r>
    <x v="12"/>
    <x v="12"/>
    <x v="0"/>
    <x v="11"/>
    <x v="9"/>
    <x v="12"/>
    <x v="2"/>
  </r>
  <r>
    <x v="13"/>
    <x v="13"/>
    <x v="1"/>
    <x v="12"/>
    <x v="10"/>
    <x v="13"/>
    <x v="1"/>
  </r>
  <r>
    <x v="14"/>
    <x v="14"/>
    <x v="2"/>
    <x v="5"/>
    <x v="11"/>
    <x v="14"/>
    <x v="0"/>
  </r>
  <r>
    <x v="15"/>
    <x v="15"/>
    <x v="2"/>
    <x v="13"/>
    <x v="12"/>
    <x v="15"/>
    <x v="5"/>
  </r>
  <r>
    <x v="16"/>
    <x v="16"/>
    <x v="2"/>
    <x v="13"/>
    <x v="13"/>
    <x v="16"/>
    <x v="5"/>
  </r>
  <r>
    <x v="17"/>
    <x v="17"/>
    <x v="1"/>
    <x v="0"/>
    <x v="14"/>
    <x v="17"/>
    <x v="1"/>
  </r>
  <r>
    <x v="18"/>
    <x v="18"/>
    <x v="2"/>
    <x v="14"/>
    <x v="15"/>
    <x v="18"/>
    <x v="4"/>
  </r>
  <r>
    <x v="19"/>
    <x v="19"/>
    <x v="2"/>
    <x v="15"/>
    <x v="16"/>
    <x v="10"/>
    <x v="3"/>
  </r>
  <r>
    <x v="20"/>
    <x v="20"/>
    <x v="2"/>
    <x v="0"/>
    <x v="17"/>
    <x v="19"/>
    <x v="2"/>
  </r>
  <r>
    <x v="21"/>
    <x v="21"/>
    <x v="0"/>
    <x v="16"/>
    <x v="18"/>
    <x v="18"/>
    <x v="2"/>
  </r>
  <r>
    <x v="22"/>
    <x v="22"/>
    <x v="2"/>
    <x v="17"/>
    <x v="19"/>
    <x v="15"/>
    <x v="2"/>
  </r>
  <r>
    <x v="23"/>
    <x v="23"/>
    <x v="0"/>
    <x v="10"/>
    <x v="14"/>
    <x v="20"/>
    <x v="5"/>
  </r>
  <r>
    <x v="24"/>
    <x v="24"/>
    <x v="0"/>
    <x v="18"/>
    <x v="20"/>
    <x v="18"/>
    <x v="0"/>
  </r>
  <r>
    <x v="25"/>
    <x v="25"/>
    <x v="2"/>
    <x v="17"/>
    <x v="8"/>
    <x v="2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42EEB-4CEC-4160-B25C-61683A97CD36}" name="피벗 테이블2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B3:D20" firstHeaderRow="1" firstDataRow="1" firstDataCol="0"/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재배현황01">
        <x15:activeTabTopLevelEntity name="[재배현황0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3AD07D-F568-466C-845E-9EAADEDBCD69}" name="피벗 테이블3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 fieldListSortAscending="1">
  <location ref="B3:D20" firstHeaderRow="1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51D9F-FBA4-4240-ADBC-21372B739B99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재배면적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0BBE6-3883-4DF9-A62F-B4A739C51E88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fieldListSortAscending="1">
  <location ref="B3:F11" firstHeaderRow="1" firstDataRow="2" firstDataCol="2" rowPageCount="1" colPageCount="1"/>
  <pivotFields count="10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axis="axisRow" compact="0" showAll="0">
      <items count="5">
        <item x="1"/>
        <item x="0"/>
        <item x="2"/>
        <item x="3"/>
        <item t="default"/>
      </items>
    </pivotField>
    <pivotField compact="0" showAll="0"/>
    <pivotField compact="0" showAll="0"/>
    <pivotField compact="0" showAll="0">
      <items count="5">
        <item x="0"/>
        <item x="1"/>
        <item x="2"/>
        <item x="3"/>
        <item t="default"/>
      </items>
    </pivotField>
    <pivotField axis="axisRow" compact="0" showAll="0">
      <items count="3">
        <item x="0"/>
        <item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재배면적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10F29-306A-4548-A342-3C0F000BC30E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rowHeaderCaption="재배시기" colHeaderCaption="계약종류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D11CD-4F2F-423A-9FCE-239B08FBDA80}" name="피벗 테이블1" cacheId="12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재배시기" colHeaderCaption="계약종류" fieldListSortAscending="1">
  <location ref="B3:G24" firstHeaderRow="1" firstDataRow="2" firstDataCol="3" rowPageCount="1" colPageCount="1"/>
  <pivotFields count="10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axis="axisRow" compact="0" showAll="0">
      <items count="5">
        <item x="1"/>
        <item x="0"/>
        <item x="2"/>
        <item x="3"/>
        <item t="default"/>
      </items>
    </pivotField>
    <pivotField compact="0" showAll="0"/>
    <pivotField dataField="1" compact="0" showAll="0"/>
    <pivotField compact="0" showAll="0">
      <items count="5">
        <item x="0"/>
        <item x="1"/>
        <item x="2"/>
        <item x="3"/>
        <item t="default"/>
      </items>
    </pivotField>
    <pivotField axis="axisRow" compact="0" showAll="0">
      <items count="3">
        <item x="0"/>
        <item x="1"/>
        <item t="default"/>
      </items>
    </pivotField>
  </pivotFields>
  <rowFields count="3">
    <field x="9"/>
    <field x="5"/>
    <field x="-2"/>
  </rowFields>
  <rowItems count="20">
    <i>
      <x/>
    </i>
    <i r="1">
      <x/>
    </i>
    <i r="2">
      <x/>
    </i>
    <i r="2" i="1">
      <x v="1"/>
    </i>
    <i r="1">
      <x v="3"/>
    </i>
    <i r="2">
      <x/>
    </i>
    <i r="2" i="1">
      <x v="1"/>
    </i>
    <i t="default">
      <x/>
    </i>
    <i t="default" i="1">
      <x/>
    </i>
    <i>
      <x v="1"/>
    </i>
    <i r="1">
      <x v="1"/>
    </i>
    <i r="2">
      <x/>
    </i>
    <i r="2" i="1">
      <x v="1"/>
    </i>
    <i r="1">
      <x v="2"/>
    </i>
    <i r="2">
      <x/>
    </i>
    <i r="2" i="1">
      <x v="1"/>
    </i>
    <i t="default">
      <x v="1"/>
    </i>
    <i t="default" i="1">
      <x v="1"/>
    </i>
    <i t="grand">
      <x/>
    </i>
    <i t="grand" i="1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2">
    <dataField name="합계 : 재배면적" fld="4" baseField="0" baseItem="0"/>
    <dataField name="합계 : 거래수수료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C4BED-50F8-4EFE-836F-B0320BF14414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계약일" colHeaderCaption="계약종류" fieldListSortAscending="1">
  <location ref="B3:F15" firstHeaderRow="1" firstDataRow="2" firstDataCol="2" rowPageCount="1" colPageCount="1"/>
  <pivotFields count="10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compact="0" showAll="0">
      <items count="5">
        <item x="1"/>
        <item x="0"/>
        <item x="2"/>
        <item x="3"/>
        <item t="default"/>
      </items>
    </pivotField>
    <pivotField compact="0" showAll="0"/>
    <pivotField compact="0" showAll="0"/>
    <pivotField axis="axisRow" compact="0" showAll="0">
      <items count="5">
        <item x="0"/>
        <item x="1"/>
        <item x="2"/>
        <item x="3"/>
        <item t="default"/>
      </items>
    </pivotField>
    <pivotField compact="0" showAll="0">
      <items count="3">
        <item x="0"/>
        <item x="1"/>
        <item t="default"/>
      </items>
    </pivotField>
  </pivotFields>
  <rowFields count="2">
    <field x="8"/>
    <field x="3"/>
  </rowFields>
  <rowItems count="11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5EB11-356E-4863-89B5-DEFAC59A2076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재배시기" colHeaderCaption="계약종류" fieldListSortAscending="1">
  <location ref="B3:F11" firstHeaderRow="1" firstDataRow="2" firstDataCol="2" rowPageCount="1" colPageCount="1"/>
  <pivotFields count="10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axis="axisRow" compact="0" showAll="0">
      <items count="5">
        <item x="1"/>
        <item x="0"/>
        <item x="2"/>
        <item x="3"/>
        <item t="default"/>
      </items>
    </pivotField>
    <pivotField compact="0" showAll="0"/>
    <pivotField compact="0" showAll="0"/>
    <pivotField compact="0" showAll="0">
      <items count="5">
        <item x="0"/>
        <item x="1"/>
        <item x="2"/>
        <item x="3"/>
        <item t="default"/>
      </items>
    </pivotField>
    <pivotField axis="axisRow" compact="0" showAll="0">
      <items count="3">
        <item n="10월~2월" x="0"/>
        <item n="3월~9월"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1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55D55-4FB8-49F8-A8D5-385761B18966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rowHeaderCaption="재배시기" colHeaderCaption="계약종류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DA187-C5E8-4DE7-95BF-F08BE5E8D17B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rowHeaderCaption="재배시기" colHeaderCaption="계약종류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 sortType="descending">
      <items count="5">
        <item x="3"/>
        <item x="2"/>
        <item x="0"/>
        <item x="1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9"/>
    <field x="5"/>
  </rowFields>
  <rowItems count="7">
    <i>
      <x/>
    </i>
    <i r="1">
      <x/>
    </i>
    <i r="1">
      <x v="3"/>
    </i>
    <i>
      <x v="1"/>
    </i>
    <i r="1">
      <x v="1"/>
    </i>
    <i r="1">
      <x v="2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41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F9310-A6C4-40F0-85BA-998042092B70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rowHeaderCaption="재배시기" colHeaderCaption="계약종류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1"/>
        <item x="0"/>
        <item t="default"/>
      </items>
    </pivotField>
  </pivotFields>
  <rowFields count="2">
    <field x="9"/>
    <field x="5"/>
  </rowFields>
  <rowItems count="7">
    <i>
      <x/>
    </i>
    <i r="1">
      <x/>
    </i>
    <i r="1">
      <x v="1"/>
    </i>
    <i>
      <x v="1"/>
    </i>
    <i r="1">
      <x v="2"/>
    </i>
    <i r="1"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41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1E035-F68F-4476-A2BB-A50E42517B49}" name="피벗 테이블4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outline="1" outlineData="1" multipleFieldFilters="0" rowHeaderCaption="재배시기" colHeaderCaption="계약종류" fieldListSortAscending="1">
  <location ref="B3:E11" firstHeaderRow="1" firstDataRow="2" firstDataCol="1" rowPageCount="1" colPageCount="1"/>
  <pivotFields count="10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3">
        <item x="1"/>
        <item x="0"/>
        <item t="default"/>
      </items>
    </pivotField>
  </pivotFields>
  <rowFields count="2">
    <field x="9"/>
    <field x="5"/>
  </rowFields>
  <rowItems count="7">
    <i>
      <x/>
    </i>
    <i r="1">
      <x/>
    </i>
    <i r="1">
      <x v="1"/>
    </i>
    <i>
      <x v="1"/>
    </i>
    <i r="1">
      <x v="2"/>
    </i>
    <i r="1"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1"/>
  </dataFields>
  <formats count="1">
    <format dxfId="10">
      <pivotArea outline="0" collapsedLevelsAreSubtotals="1" fieldPosition="0"/>
    </format>
  </formats>
  <pivotTableStyleInfo name="PivotStyleLight1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F9AE2-B7D6-4038-A906-2D331485A86A}" name="피벗 테이블7" cacheId="2" applyNumberFormats="0" applyBorderFormats="0" applyFontFormats="0" applyPatternFormats="0" applyAlignmentFormats="0" applyWidthHeightFormats="1" dataCaption="값" updatedVersion="7" minRefreshableVersion="3" useAutoFormatting="1" itemPrintTitles="1" createdVersion="4" indent="0" compact="0" outline="1" outlineData="1" compactData="0" multipleFieldFilters="0">
  <location ref="A2:E8" firstHeaderRow="0" firstDataRow="1" firstDataCol="1"/>
  <pivotFields count="5">
    <pivotField axis="axisRow" compact="0" showAll="0">
      <items count="6">
        <item x="2"/>
        <item x="0"/>
        <item x="1"/>
        <item x="3"/>
        <item x="4"/>
        <item t="default"/>
      </items>
    </pivotField>
    <pivotField dataField="1" compact="0" showAll="0"/>
    <pivotField dataField="1" compact="0" showAll="0"/>
    <pivotField dataField="1" compact="0" showAll="0"/>
    <pivotField dataField="1" compact="0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합계 : 1월" fld="1" baseField="0" baseItem="0"/>
    <dataField name="합계 : 2월" fld="2" baseField="0" baseItem="0"/>
    <dataField name="합계 : 3월" fld="3" baseField="0" baseItem="0"/>
    <dataField name="합계 : 표준편차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A067BA-61D3-4C47-8021-F9DCAE6E2943}" name="피벗 테이블8" cacheId="6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compactData="0" multipleFieldFilters="0">
  <location ref="B2:E13" firstHeaderRow="1" firstDataRow="2" firstDataCol="2"/>
  <pivotFields count="4">
    <pivotField axis="axisCol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1"/>
    <field x="-2"/>
  </rowFields>
  <row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Fields count="1">
    <field x="0"/>
  </colFields>
  <colItems count="2">
    <i>
      <x/>
    </i>
    <i>
      <x v="1"/>
    </i>
  </colItems>
  <dataFields count="2">
    <dataField name="평균: 대여시간" fld="2" subtotal="average" baseField="1" baseItem="0" numFmtId="176"/>
    <dataField name="평균: 대여비용" fld="3" subtotal="average" baseField="1" baseItem="0" numFmtId="176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21" showRowHeaders="1" showColHeaders="1" showRowStripes="0" showColStripes="1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대여현황">
        <x15:activeTabTopLevelEntity name="[대여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9F7066-A9DC-4C64-B5B6-574C947B6CE9}" name="피벗 테이블9" cacheId="3" applyNumberFormats="0" applyBorderFormats="0" applyFontFormats="0" applyPatternFormats="0" applyAlignmentFormats="0" applyWidthHeightFormats="1" dataCaption="값" missingCaption="***" updatedVersion="7" minRefreshableVersion="3" useAutoFormatting="1" colGrandTotals="0" itemPrintTitles="1" createdVersion="7" indent="0" compact="0" outline="1" outlineData="1" compactData="0" multipleFieldFilters="0" fieldListSortAscending="1">
  <location ref="A2:D8" firstHeaderRow="1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axis="axisCol" compact="0" showAll="0">
      <items count="4">
        <item x="2"/>
        <item x="1"/>
        <item x="0"/>
        <item t="default"/>
      </items>
    </pivotField>
    <pivotField compact="0" showAll="0"/>
    <pivotField dataField="1" compact="0"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"/>
  </colFields>
  <colItems count="3">
    <i>
      <x/>
    </i>
    <i>
      <x v="1"/>
    </i>
    <i>
      <x v="2"/>
    </i>
  </colItems>
  <dataFields count="1">
    <dataField name="합계 : 판매금액" fld="9" baseField="6" baseItem="2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5BEB7C-CADB-4F36-8942-C8E3A2622227}" name="피벗 테이블10" cacheId="4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A4:D19" firstHeaderRow="0" firstDataRow="1" firstDataCol="2" rowPageCount="1" colPageCount="1"/>
  <pivotFields count="8">
    <pivotField compact="0" subtotalTop="0" showAll="0"/>
    <pivotField compact="0" subtotalTop="0" showAll="0"/>
    <pivotField axis="axisPage" compact="0" subtotalTop="0" multipleItemSelectionAllowed="1" showAll="0">
      <items count="5">
        <item h="1" x="1"/>
        <item h="1" x="3"/>
        <item x="0"/>
        <item x="2"/>
        <item t="default"/>
      </items>
    </pivotField>
    <pivotField compact="0" subtotalTop="0" showAll="0"/>
    <pivotField dataField="1" compact="0" subtotalTop="0" showAll="0"/>
    <pivotField axis="axisRow" compact="0" subtotalTop="0" showAll="0" sortType="descending">
      <items count="25">
        <item x="21"/>
        <item x="14"/>
        <item x="17"/>
        <item x="19"/>
        <item x="2"/>
        <item x="12"/>
        <item x="3"/>
        <item x="9"/>
        <item x="22"/>
        <item x="11"/>
        <item x="7"/>
        <item x="23"/>
        <item x="5"/>
        <item x="6"/>
        <item x="13"/>
        <item x="8"/>
        <item x="10"/>
        <item x="15"/>
        <item x="20"/>
        <item x="1"/>
        <item x="0"/>
        <item x="18"/>
        <item x="16"/>
        <item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subtotalTop="0" showAll="0"/>
    <pivotField axis="axisRow" compact="0" subtotalTop="0" showAll="0">
      <items count="17">
        <item x="13"/>
        <item n="오전" x="14"/>
        <item x="10"/>
        <item x="12"/>
        <item x="6"/>
        <item x="1"/>
        <item n="오후" x="15"/>
        <item x="2"/>
        <item x="3"/>
        <item x="7"/>
        <item x="4"/>
        <item x="5"/>
        <item x="8"/>
        <item x="0"/>
        <item x="11"/>
        <item x="9"/>
        <item t="default"/>
      </items>
    </pivotField>
  </pivotFields>
  <rowFields count="2">
    <field x="7"/>
    <field x="5"/>
  </rowFields>
  <rowItems count="15">
    <i>
      <x v="1"/>
    </i>
    <i r="1">
      <x v="8"/>
    </i>
    <i r="1">
      <x v="4"/>
    </i>
    <i r="1">
      <x v="7"/>
    </i>
    <i r="1">
      <x v="9"/>
    </i>
    <i r="1">
      <x v="1"/>
    </i>
    <i t="default">
      <x v="1"/>
    </i>
    <i>
      <x v="6"/>
    </i>
    <i r="1">
      <x v="20"/>
    </i>
    <i r="1">
      <x v="11"/>
    </i>
    <i r="1">
      <x v="18"/>
    </i>
    <i r="1">
      <x v="10"/>
    </i>
    <i r="1">
      <x v="23"/>
    </i>
    <i t="default"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합계 : 수입규모(t)" fld="4" baseField="0" baseItem="0"/>
    <dataField name="합계 : 통관수수료" fld="6" baseField="5" baseItem="4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F1FDFE-C97D-4403-9B16-DFBBE218B070}" name="피벗 테이블11" cacheId="7" applyNumberFormats="0" applyBorderFormats="0" applyFontFormats="0" applyPatternFormats="0" applyAlignmentFormats="0" applyWidthHeightFormats="1" dataCaption="값" updatedVersion="7" minRefreshableVersion="3" useAutoFormatting="1" itemPrintTitles="1" mergeItem="1" createdVersion="7" indent="0" compact="0" compactData="0" multipleFieldFilters="0">
  <location ref="A3:G7" firstHeaderRow="1" firstDataRow="2" firstDataCol="2" rowPageCount="1" colPageCount="1"/>
  <pivotFields count="5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Row" compact="0" allDrilled="1" outline="0" subtotalTop="0" showAll="0" dataSourceSort="1" defaultSubtotal="0">
      <items count="2">
        <item x="0" e="0"/>
        <item x="1" e="0"/>
      </items>
    </pivotField>
    <pivotField dataField="1" compact="0" outline="0" subtotalTop="0" showAll="0" defaultSubtotal="0"/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2"/>
    <field x="1"/>
  </rowFields>
  <rowItems count="3">
    <i>
      <x/>
    </i>
    <i>
      <x v="1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0" hier="6" name="[자격수당].[직책].[All]" cap="All"/>
  </pageFields>
  <dataFields count="1">
    <dataField name="합계: 평가점수" fld="3" baseField="2" baseItem="0" numFmtId="178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Medium19" showRowHeaders="1" showColHeaders="1" showRowStripes="0" showColStripes="0" showLastColumn="1"/>
  <rowHierarchiesUsage count="2">
    <rowHierarchyUsage hierarchyUsage="10"/>
    <rowHierarchyUsage hierarchyUsage="5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자격수당">
        <x15:activeTabTopLevelEntity name="[자격수당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6EB-55C2-48FF-9DD8-08C90F6B8B98}" name="피벗 테이블12" cacheId="8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4:F11" firstHeaderRow="1" firstDataRow="2" firstDataCol="2" rowPageCount="1" colPageCount="1"/>
  <pivotFields count="9">
    <pivotField axis="axisRow" compact="0" showAll="0">
      <items count="27">
        <item x="4"/>
        <item x="23"/>
        <item x="0"/>
        <item x="2"/>
        <item x="3"/>
        <item x="20"/>
        <item x="7"/>
        <item x="13"/>
        <item x="21"/>
        <item x="17"/>
        <item x="1"/>
        <item x="16"/>
        <item x="5"/>
        <item x="11"/>
        <item x="25"/>
        <item x="18"/>
        <item x="6"/>
        <item x="15"/>
        <item x="24"/>
        <item x="22"/>
        <item x="10"/>
        <item x="14"/>
        <item x="9"/>
        <item x="8"/>
        <item x="19"/>
        <item x="12"/>
        <item t="default"/>
      </items>
    </pivotField>
    <pivotField compact="0" showAll="0"/>
    <pivotField axis="axisCol" compact="0" showAll="0">
      <items count="4">
        <item x="0"/>
        <item x="2"/>
        <item x="1"/>
        <item t="default"/>
      </items>
    </pivotField>
    <pivotField compact="0" showAll="0"/>
    <pivotField compact="0" showAll="0"/>
    <pivotField compact="0" showAll="0"/>
    <pivotField axis="axisPage" compact="0" showAll="0">
      <items count="7">
        <item x="5"/>
        <item x="1"/>
        <item x="0"/>
        <item x="2"/>
        <item x="4"/>
        <item x="3"/>
        <item t="default"/>
      </items>
    </pivotField>
    <pivotField dataField="1" compact="0" dragToRow="0" dragToCol="0" dragToPage="0" showAll="0" defaultSubtotal="0"/>
    <pivotField axis="axisRow" compact="0" showAll="0">
      <items count="26">
        <item x="4"/>
        <item n="자연과학" x="24"/>
        <item x="0"/>
        <item x="2"/>
        <item x="3"/>
        <item x="19"/>
        <item x="7"/>
        <item x="13"/>
        <item x="20"/>
        <item x="16"/>
        <item x="1"/>
        <item x="5"/>
        <item x="11"/>
        <item x="23"/>
        <item x="17"/>
        <item x="6"/>
        <item n="정보공학" x="15"/>
        <item x="22"/>
        <item x="21"/>
        <item x="10"/>
        <item x="14"/>
        <item x="9"/>
        <item x="8"/>
        <item x="18"/>
        <item x="12"/>
        <item t="default"/>
      </items>
    </pivotField>
  </pivotFields>
  <rowFields count="2">
    <field x="8"/>
    <field x="0"/>
  </rowFields>
  <rowItems count="6">
    <i>
      <x v="1"/>
    </i>
    <i r="1">
      <x v="1"/>
    </i>
    <i r="1">
      <x v="11"/>
    </i>
    <i>
      <x v="16"/>
    </i>
    <i r="1">
      <x v="17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6" item="0" hier="-1"/>
  </pageFields>
  <dataFields count="1">
    <dataField name="합계 : 총점" fld="7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509F4C-19C3-4C08-BF8E-8DBFB2C299A7}" name="표1" displayName="표1" ref="A1:G2" totalsRowShown="0">
  <autoFilter ref="A1:G2" xr:uid="{04509F4C-19C3-4C08-BF8E-8DBFB2C299A7}"/>
  <tableColumns count="7">
    <tableColumn id="1" xr3:uid="{3D41B20F-01B5-4A24-8C42-F5D6CC5D83C1}" name="연구원ID"/>
    <tableColumn id="2" xr3:uid="{93EF9070-E443-47D7-8DC2-040588483D0F}" name="이름"/>
    <tableColumn id="3" xr3:uid="{A6C092EB-9EBA-49EE-AC41-2E48D96316E5}" name="연구분야"/>
    <tableColumn id="4" xr3:uid="{3F63409D-3B8C-4520-8563-D7F80D19F661}" name="내부평가"/>
    <tableColumn id="5" xr3:uid="{C12CD5AC-3187-46B9-839D-E34FE5673C30}" name="외부평가"/>
    <tableColumn id="6" xr3:uid="{84CFA879-4DDB-42BA-9132-4A2211D17464}" name="연구점수"/>
    <tableColumn id="7" xr3:uid="{DD149145-0946-444E-B7EB-EA9391B5CB44}" name="연구원평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AE90C-9923-486F-B454-4D2F2769FCB4}">
  <sheetPr codeName="Sheet1"/>
  <dimension ref="B3:D20"/>
  <sheetViews>
    <sheetView tabSelected="1" workbookViewId="0">
      <selection activeCell="B3" sqref="B3"/>
    </sheetView>
  </sheetViews>
  <sheetFormatPr defaultRowHeight="16.5" x14ac:dyDescent="0.3"/>
  <sheetData>
    <row r="3" spans="2:4" x14ac:dyDescent="0.3">
      <c r="B3" s="1"/>
      <c r="C3" s="2"/>
      <c r="D3" s="3"/>
    </row>
    <row r="4" spans="2:4" x14ac:dyDescent="0.3">
      <c r="B4" s="4"/>
      <c r="C4" s="5"/>
      <c r="D4" s="6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7"/>
      <c r="C20" s="8"/>
      <c r="D20" s="9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C6856-9AD3-4CBE-BDAA-5F3CC5AC6EF0}">
  <sheetPr codeName="Sheet2"/>
  <dimension ref="B3:D20"/>
  <sheetViews>
    <sheetView workbookViewId="0">
      <selection activeCell="B4" sqref="B4"/>
    </sheetView>
  </sheetViews>
  <sheetFormatPr defaultRowHeight="16.5" x14ac:dyDescent="0.3"/>
  <sheetData>
    <row r="3" spans="2:4" x14ac:dyDescent="0.3">
      <c r="B3" s="1"/>
      <c r="C3" s="2"/>
      <c r="D3" s="3"/>
    </row>
    <row r="4" spans="2:4" x14ac:dyDescent="0.3">
      <c r="B4" s="4"/>
      <c r="C4" s="5"/>
      <c r="D4" s="6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4"/>
      <c r="C19" s="5"/>
      <c r="D19" s="6"/>
    </row>
    <row r="20" spans="2:4" x14ac:dyDescent="0.3">
      <c r="B20" s="7"/>
      <c r="C20" s="8"/>
      <c r="D20" s="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71E19-0409-424E-8A11-E70A0E84C973}">
  <sheetPr codeName="Sheet3"/>
  <dimension ref="B1:E11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3" width="11.875" bestFit="1" customWidth="1"/>
    <col min="4" max="4" width="9.25" bestFit="1" customWidth="1"/>
    <col min="5" max="5" width="7.375" customWidth="1"/>
    <col min="6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2</v>
      </c>
      <c r="C3" s="10" t="s">
        <v>3</v>
      </c>
    </row>
    <row r="4" spans="2:5" x14ac:dyDescent="0.3">
      <c r="B4" s="10" t="s">
        <v>7</v>
      </c>
      <c r="C4" t="s">
        <v>4</v>
      </c>
      <c r="D4" t="s">
        <v>5</v>
      </c>
      <c r="E4" t="s">
        <v>6</v>
      </c>
    </row>
    <row r="5" spans="2:5" x14ac:dyDescent="0.3">
      <c r="B5" s="12" t="s">
        <v>100</v>
      </c>
      <c r="C5" s="11">
        <v>20411</v>
      </c>
      <c r="D5" s="11">
        <v>19247</v>
      </c>
      <c r="E5" s="11">
        <v>39658</v>
      </c>
    </row>
    <row r="6" spans="2:5" x14ac:dyDescent="0.3">
      <c r="B6" s="25" t="s">
        <v>8</v>
      </c>
      <c r="C6" s="11">
        <v>9676</v>
      </c>
      <c r="D6" s="11">
        <v>6541</v>
      </c>
      <c r="E6" s="11">
        <v>16217</v>
      </c>
    </row>
    <row r="7" spans="2:5" x14ac:dyDescent="0.3">
      <c r="B7" s="25" t="s">
        <v>11</v>
      </c>
      <c r="C7" s="11">
        <v>10735</v>
      </c>
      <c r="D7" s="11">
        <v>12706</v>
      </c>
      <c r="E7" s="11">
        <v>23441</v>
      </c>
    </row>
    <row r="8" spans="2:5" x14ac:dyDescent="0.3">
      <c r="B8" s="12" t="s">
        <v>105</v>
      </c>
      <c r="C8" s="11">
        <v>18736</v>
      </c>
      <c r="D8" s="11">
        <v>27166</v>
      </c>
      <c r="E8" s="11">
        <v>45902</v>
      </c>
    </row>
    <row r="9" spans="2:5" x14ac:dyDescent="0.3">
      <c r="B9" s="25" t="s">
        <v>9</v>
      </c>
      <c r="C9" s="11">
        <v>10083</v>
      </c>
      <c r="D9" s="11">
        <v>3000</v>
      </c>
      <c r="E9" s="11">
        <v>13083</v>
      </c>
    </row>
    <row r="10" spans="2:5" x14ac:dyDescent="0.3">
      <c r="B10" s="25" t="s">
        <v>10</v>
      </c>
      <c r="C10" s="11">
        <v>8653</v>
      </c>
      <c r="D10" s="11">
        <v>24166</v>
      </c>
      <c r="E10" s="11">
        <v>32819</v>
      </c>
    </row>
    <row r="11" spans="2:5" x14ac:dyDescent="0.3">
      <c r="B11" s="12" t="s">
        <v>6</v>
      </c>
      <c r="C11" s="11">
        <v>39147</v>
      </c>
      <c r="D11" s="11">
        <v>46413</v>
      </c>
      <c r="E11" s="11">
        <v>85560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3947-22FE-472D-9F7E-EF24FF67A051}">
  <sheetPr codeName="Sheet4"/>
  <dimension ref="B1:F11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5" width="11.25" bestFit="1" customWidth="1"/>
    <col min="6" max="6" width="7.375" bestFit="1" customWidth="1"/>
    <col min="7" max="7" width="14.5" bestFit="1" customWidth="1"/>
    <col min="8" max="8" width="22.125" bestFit="1" customWidth="1"/>
  </cols>
  <sheetData>
    <row r="1" spans="2:6" x14ac:dyDescent="0.3">
      <c r="B1" s="10" t="s">
        <v>0</v>
      </c>
      <c r="C1" t="s">
        <v>1</v>
      </c>
    </row>
    <row r="3" spans="2:6" x14ac:dyDescent="0.3">
      <c r="B3" s="10" t="s">
        <v>2</v>
      </c>
      <c r="D3" s="10" t="s">
        <v>16</v>
      </c>
    </row>
    <row r="4" spans="2:6" x14ac:dyDescent="0.3">
      <c r="B4" s="10" t="s">
        <v>101</v>
      </c>
      <c r="C4" s="10" t="s">
        <v>18</v>
      </c>
      <c r="D4" t="s">
        <v>4</v>
      </c>
      <c r="E4" t="s">
        <v>5</v>
      </c>
      <c r="F4" t="s">
        <v>6</v>
      </c>
    </row>
    <row r="5" spans="2:6" x14ac:dyDescent="0.3">
      <c r="B5" t="s">
        <v>100</v>
      </c>
      <c r="D5" s="11">
        <v>20411</v>
      </c>
      <c r="E5" s="11">
        <v>19247</v>
      </c>
      <c r="F5" s="11">
        <v>39658</v>
      </c>
    </row>
    <row r="6" spans="2:6" x14ac:dyDescent="0.3">
      <c r="C6" t="s">
        <v>8</v>
      </c>
      <c r="D6" s="11">
        <v>9676</v>
      </c>
      <c r="E6" s="11">
        <v>6541</v>
      </c>
      <c r="F6" s="11">
        <v>16217</v>
      </c>
    </row>
    <row r="7" spans="2:6" x14ac:dyDescent="0.3">
      <c r="C7" t="s">
        <v>11</v>
      </c>
      <c r="D7" s="11">
        <v>10735</v>
      </c>
      <c r="E7" s="11">
        <v>12706</v>
      </c>
      <c r="F7" s="11">
        <v>23441</v>
      </c>
    </row>
    <row r="8" spans="2:6" x14ac:dyDescent="0.3">
      <c r="B8" t="s">
        <v>105</v>
      </c>
      <c r="D8" s="11">
        <v>18736</v>
      </c>
      <c r="E8" s="11">
        <v>27166</v>
      </c>
      <c r="F8" s="11">
        <v>45902</v>
      </c>
    </row>
    <row r="9" spans="2:6" x14ac:dyDescent="0.3">
      <c r="C9" t="s">
        <v>9</v>
      </c>
      <c r="D9" s="11">
        <v>10083</v>
      </c>
      <c r="E9" s="11">
        <v>3000</v>
      </c>
      <c r="F9" s="11">
        <v>13083</v>
      </c>
    </row>
    <row r="10" spans="2:6" x14ac:dyDescent="0.3">
      <c r="C10" t="s">
        <v>10</v>
      </c>
      <c r="D10" s="11">
        <v>8653</v>
      </c>
      <c r="E10" s="11">
        <v>24166</v>
      </c>
      <c r="F10" s="11">
        <v>32819</v>
      </c>
    </row>
    <row r="11" spans="2:6" x14ac:dyDescent="0.3">
      <c r="B11" t="s">
        <v>6</v>
      </c>
      <c r="D11" s="11">
        <v>39147</v>
      </c>
      <c r="E11" s="11">
        <v>46413</v>
      </c>
      <c r="F11" s="11">
        <v>85560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57033-076C-4F59-8DE5-EB43F0A1F4F5}">
  <sheetPr codeName="Sheet5"/>
  <dimension ref="B1:E11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100</v>
      </c>
      <c r="C5" s="11">
        <v>3401.8333333333335</v>
      </c>
      <c r="D5" s="11">
        <v>2749.5714285714284</v>
      </c>
      <c r="E5" s="11">
        <v>3050.6153846153848</v>
      </c>
    </row>
    <row r="6" spans="2:5" x14ac:dyDescent="0.3">
      <c r="B6" s="25" t="s">
        <v>8</v>
      </c>
      <c r="C6" s="11">
        <v>3225.3333333333335</v>
      </c>
      <c r="D6" s="11">
        <v>2180.3333333333335</v>
      </c>
      <c r="E6" s="11">
        <v>2702.8333333333335</v>
      </c>
    </row>
    <row r="7" spans="2:5" x14ac:dyDescent="0.3">
      <c r="B7" s="25" t="s">
        <v>11</v>
      </c>
      <c r="C7" s="11">
        <v>3578.3333333333335</v>
      </c>
      <c r="D7" s="11">
        <v>3176.5</v>
      </c>
      <c r="E7" s="11">
        <v>3348.7142857142858</v>
      </c>
    </row>
    <row r="8" spans="2:5" x14ac:dyDescent="0.3">
      <c r="B8" s="12" t="s">
        <v>105</v>
      </c>
      <c r="C8" s="11">
        <v>3122.6666666666665</v>
      </c>
      <c r="D8" s="11">
        <v>3018.4444444444443</v>
      </c>
      <c r="E8" s="11">
        <v>3060.1333333333332</v>
      </c>
    </row>
    <row r="9" spans="2:5" x14ac:dyDescent="0.3">
      <c r="B9" s="25" t="s">
        <v>9</v>
      </c>
      <c r="C9" s="11">
        <v>3361</v>
      </c>
      <c r="D9" s="11">
        <v>3000</v>
      </c>
      <c r="E9" s="11">
        <v>3270.75</v>
      </c>
    </row>
    <row r="10" spans="2:5" x14ac:dyDescent="0.3">
      <c r="B10" s="25" t="s">
        <v>10</v>
      </c>
      <c r="C10" s="11">
        <v>2884.3333333333335</v>
      </c>
      <c r="D10" s="11">
        <v>3020.75</v>
      </c>
      <c r="E10" s="11">
        <v>2983.5454545454545</v>
      </c>
    </row>
    <row r="11" spans="2:5" x14ac:dyDescent="0.3">
      <c r="B11" s="12" t="s">
        <v>6</v>
      </c>
      <c r="C11" s="11">
        <v>3262.25</v>
      </c>
      <c r="D11" s="11">
        <v>2900.8125</v>
      </c>
      <c r="E11" s="11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E798C-513A-4BF1-97A0-9F02C25E54A2}">
  <sheetPr codeName="Sheet6"/>
  <dimension ref="B1:G24"/>
  <sheetViews>
    <sheetView workbookViewId="0">
      <selection activeCell="E11" sqref="E11"/>
    </sheetView>
  </sheetViews>
  <sheetFormatPr defaultRowHeight="16.5" x14ac:dyDescent="0.3"/>
  <cols>
    <col min="1" max="1" width="1.75" customWidth="1"/>
    <col min="2" max="2" width="22.125" bestFit="1" customWidth="1"/>
    <col min="3" max="4" width="16.875" bestFit="1" customWidth="1"/>
    <col min="5" max="6" width="11.25" bestFit="1" customWidth="1"/>
    <col min="7" max="7" width="9.625" bestFit="1" customWidth="1"/>
    <col min="8" max="8" width="21.125" bestFit="1" customWidth="1"/>
  </cols>
  <sheetData>
    <row r="1" spans="2:7" x14ac:dyDescent="0.3">
      <c r="B1" s="10" t="s">
        <v>0</v>
      </c>
      <c r="C1" t="s">
        <v>1</v>
      </c>
    </row>
    <row r="3" spans="2:7" x14ac:dyDescent="0.3">
      <c r="E3" s="10" t="s">
        <v>16</v>
      </c>
    </row>
    <row r="4" spans="2:7" x14ac:dyDescent="0.3">
      <c r="B4" s="10" t="s">
        <v>101</v>
      </c>
      <c r="C4" s="10" t="s">
        <v>18</v>
      </c>
      <c r="D4" s="10" t="s">
        <v>47</v>
      </c>
      <c r="E4" t="s">
        <v>4</v>
      </c>
      <c r="F4" t="s">
        <v>5</v>
      </c>
      <c r="G4" t="s">
        <v>6</v>
      </c>
    </row>
    <row r="5" spans="2:7" x14ac:dyDescent="0.3">
      <c r="B5" t="s">
        <v>100</v>
      </c>
      <c r="E5" s="11"/>
      <c r="F5" s="11"/>
      <c r="G5" s="11"/>
    </row>
    <row r="6" spans="2:7" x14ac:dyDescent="0.3">
      <c r="C6" t="s">
        <v>8</v>
      </c>
      <c r="E6" s="11"/>
      <c r="F6" s="11"/>
      <c r="G6" s="11"/>
    </row>
    <row r="7" spans="2:7" x14ac:dyDescent="0.3">
      <c r="D7" t="s">
        <v>2</v>
      </c>
      <c r="E7" s="11">
        <v>9676</v>
      </c>
      <c r="F7" s="11">
        <v>6541</v>
      </c>
      <c r="G7" s="11">
        <v>16217</v>
      </c>
    </row>
    <row r="8" spans="2:7" x14ac:dyDescent="0.3">
      <c r="D8" t="s">
        <v>14</v>
      </c>
      <c r="E8" s="11">
        <v>230000</v>
      </c>
      <c r="F8" s="11">
        <v>326000</v>
      </c>
      <c r="G8" s="11">
        <v>556000</v>
      </c>
    </row>
    <row r="9" spans="2:7" x14ac:dyDescent="0.3">
      <c r="C9" t="s">
        <v>11</v>
      </c>
      <c r="E9" s="11"/>
      <c r="F9" s="11"/>
      <c r="G9" s="11"/>
    </row>
    <row r="10" spans="2:7" x14ac:dyDescent="0.3">
      <c r="D10" t="s">
        <v>2</v>
      </c>
      <c r="E10" s="11">
        <v>10735</v>
      </c>
      <c r="F10" s="11">
        <v>12706</v>
      </c>
      <c r="G10" s="11">
        <v>23441</v>
      </c>
    </row>
    <row r="11" spans="2:7" x14ac:dyDescent="0.3">
      <c r="D11" t="s">
        <v>14</v>
      </c>
      <c r="E11" s="11">
        <v>268000</v>
      </c>
      <c r="F11" s="11">
        <v>464000</v>
      </c>
      <c r="G11" s="11">
        <v>732000</v>
      </c>
    </row>
    <row r="12" spans="2:7" x14ac:dyDescent="0.3">
      <c r="B12" t="s">
        <v>102</v>
      </c>
      <c r="E12" s="11">
        <v>20411</v>
      </c>
      <c r="F12" s="11">
        <v>19247</v>
      </c>
      <c r="G12" s="11">
        <v>39658</v>
      </c>
    </row>
    <row r="13" spans="2:7" x14ac:dyDescent="0.3">
      <c r="B13" t="s">
        <v>103</v>
      </c>
      <c r="E13" s="11">
        <v>498000</v>
      </c>
      <c r="F13" s="11">
        <v>790000</v>
      </c>
      <c r="G13" s="11">
        <v>1288000</v>
      </c>
    </row>
    <row r="14" spans="2:7" x14ac:dyDescent="0.3">
      <c r="B14" t="s">
        <v>105</v>
      </c>
      <c r="E14" s="11"/>
      <c r="F14" s="11"/>
      <c r="G14" s="11"/>
    </row>
    <row r="15" spans="2:7" x14ac:dyDescent="0.3">
      <c r="C15" t="s">
        <v>9</v>
      </c>
      <c r="E15" s="11"/>
      <c r="F15" s="11"/>
      <c r="G15" s="11"/>
    </row>
    <row r="16" spans="2:7" x14ac:dyDescent="0.3">
      <c r="D16" t="s">
        <v>2</v>
      </c>
      <c r="E16" s="11">
        <v>10083</v>
      </c>
      <c r="F16" s="11">
        <v>3000</v>
      </c>
      <c r="G16" s="11">
        <v>13083</v>
      </c>
    </row>
    <row r="17" spans="2:7" x14ac:dyDescent="0.3">
      <c r="D17" t="s">
        <v>14</v>
      </c>
      <c r="E17" s="11">
        <v>288000</v>
      </c>
      <c r="F17" s="11">
        <v>120000</v>
      </c>
      <c r="G17" s="11">
        <v>408000</v>
      </c>
    </row>
    <row r="18" spans="2:7" x14ac:dyDescent="0.3">
      <c r="C18" t="s">
        <v>10</v>
      </c>
      <c r="E18" s="11"/>
      <c r="F18" s="11"/>
      <c r="G18" s="11"/>
    </row>
    <row r="19" spans="2:7" x14ac:dyDescent="0.3">
      <c r="D19" t="s">
        <v>2</v>
      </c>
      <c r="E19" s="11">
        <v>8653</v>
      </c>
      <c r="F19" s="11">
        <v>24166</v>
      </c>
      <c r="G19" s="11">
        <v>32819</v>
      </c>
    </row>
    <row r="20" spans="2:7" x14ac:dyDescent="0.3">
      <c r="D20" t="s">
        <v>14</v>
      </c>
      <c r="E20" s="11">
        <v>261000</v>
      </c>
      <c r="F20" s="11">
        <v>879000</v>
      </c>
      <c r="G20" s="11">
        <v>1140000</v>
      </c>
    </row>
    <row r="21" spans="2:7" x14ac:dyDescent="0.3">
      <c r="B21" t="s">
        <v>106</v>
      </c>
      <c r="E21" s="11">
        <v>18736</v>
      </c>
      <c r="F21" s="11">
        <v>27166</v>
      </c>
      <c r="G21" s="11">
        <v>45902</v>
      </c>
    </row>
    <row r="22" spans="2:7" x14ac:dyDescent="0.3">
      <c r="B22" t="s">
        <v>107</v>
      </c>
      <c r="E22" s="11">
        <v>549000</v>
      </c>
      <c r="F22" s="11">
        <v>999000</v>
      </c>
      <c r="G22" s="11">
        <v>1548000</v>
      </c>
    </row>
    <row r="23" spans="2:7" x14ac:dyDescent="0.3">
      <c r="B23" t="s">
        <v>12</v>
      </c>
      <c r="E23" s="11">
        <v>39147</v>
      </c>
      <c r="F23" s="11">
        <v>46413</v>
      </c>
      <c r="G23" s="11">
        <v>85560</v>
      </c>
    </row>
    <row r="24" spans="2:7" x14ac:dyDescent="0.3">
      <c r="B24" t="s">
        <v>13</v>
      </c>
      <c r="E24" s="11">
        <v>1047000</v>
      </c>
      <c r="F24" s="11">
        <v>1789000</v>
      </c>
      <c r="G24" s="11">
        <v>2836000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E1C8-6FE7-4843-B1B3-857B42B254F6}">
  <sheetPr codeName="Sheet7"/>
  <dimension ref="B1:F15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3" width="9.375" bestFit="1" customWidth="1"/>
    <col min="4" max="7" width="14.5" bestFit="1" customWidth="1"/>
    <col min="8" max="8" width="22.125" bestFit="1" customWidth="1"/>
  </cols>
  <sheetData>
    <row r="1" spans="2:6" x14ac:dyDescent="0.3">
      <c r="B1" s="10" t="s">
        <v>0</v>
      </c>
      <c r="C1" t="s">
        <v>1</v>
      </c>
    </row>
    <row r="3" spans="2:6" x14ac:dyDescent="0.3">
      <c r="B3" s="10" t="s">
        <v>15</v>
      </c>
      <c r="D3" s="10" t="s">
        <v>16</v>
      </c>
    </row>
    <row r="4" spans="2:6" x14ac:dyDescent="0.3">
      <c r="B4" s="10" t="s">
        <v>99</v>
      </c>
      <c r="C4" s="10" t="s">
        <v>17</v>
      </c>
      <c r="D4" t="s">
        <v>4</v>
      </c>
      <c r="E4" t="s">
        <v>5</v>
      </c>
      <c r="F4" t="s">
        <v>6</v>
      </c>
    </row>
    <row r="5" spans="2:6" x14ac:dyDescent="0.3">
      <c r="B5" t="s">
        <v>19</v>
      </c>
      <c r="D5" s="11">
        <v>3236.1666666666665</v>
      </c>
      <c r="E5" s="11">
        <v>2909.7272727272725</v>
      </c>
      <c r="F5" s="11">
        <v>3024.9411764705883</v>
      </c>
    </row>
    <row r="6" spans="2:6" x14ac:dyDescent="0.3">
      <c r="C6" t="s">
        <v>20</v>
      </c>
      <c r="D6" s="11">
        <v>2818.5</v>
      </c>
      <c r="E6" s="11">
        <v>2924.5</v>
      </c>
      <c r="F6" s="11">
        <v>2898</v>
      </c>
    </row>
    <row r="7" spans="2:6" x14ac:dyDescent="0.3">
      <c r="C7" t="s">
        <v>21</v>
      </c>
      <c r="D7" s="11">
        <v>4204</v>
      </c>
      <c r="E7" s="11">
        <v>2357.5</v>
      </c>
      <c r="F7" s="11">
        <v>2973</v>
      </c>
    </row>
    <row r="8" spans="2:6" x14ac:dyDescent="0.3">
      <c r="C8" t="s">
        <v>22</v>
      </c>
      <c r="D8" s="11">
        <v>3785</v>
      </c>
      <c r="E8" s="11">
        <v>3248.3333333333335</v>
      </c>
      <c r="F8" s="11">
        <v>3463</v>
      </c>
    </row>
    <row r="9" spans="2:6" x14ac:dyDescent="0.3">
      <c r="C9" t="s">
        <v>23</v>
      </c>
      <c r="D9" s="11">
        <v>2006</v>
      </c>
      <c r="E9" s="11"/>
      <c r="F9" s="11">
        <v>2006</v>
      </c>
    </row>
    <row r="10" spans="2:6" x14ac:dyDescent="0.3">
      <c r="B10" t="s">
        <v>24</v>
      </c>
      <c r="D10" s="11">
        <v>3288.3333333333335</v>
      </c>
      <c r="E10" s="11">
        <v>2881.2</v>
      </c>
      <c r="F10" s="11">
        <v>3103.2727272727275</v>
      </c>
    </row>
    <row r="11" spans="2:6" x14ac:dyDescent="0.3">
      <c r="C11" t="s">
        <v>20</v>
      </c>
      <c r="D11" s="11">
        <v>3492.5</v>
      </c>
      <c r="E11" s="11"/>
      <c r="F11" s="11">
        <v>3492.5</v>
      </c>
    </row>
    <row r="12" spans="2:6" x14ac:dyDescent="0.3">
      <c r="C12" t="s">
        <v>21</v>
      </c>
      <c r="D12" s="11">
        <v>4480</v>
      </c>
      <c r="E12" s="11">
        <v>4007</v>
      </c>
      <c r="F12" s="11">
        <v>4243.5</v>
      </c>
    </row>
    <row r="13" spans="2:6" x14ac:dyDescent="0.3">
      <c r="C13" t="s">
        <v>22</v>
      </c>
      <c r="D13" s="11">
        <v>2755</v>
      </c>
      <c r="E13" s="11">
        <v>2193</v>
      </c>
      <c r="F13" s="11">
        <v>2614.5</v>
      </c>
    </row>
    <row r="14" spans="2:6" x14ac:dyDescent="0.3">
      <c r="C14" t="s">
        <v>23</v>
      </c>
      <c r="D14" s="11"/>
      <c r="E14" s="11">
        <v>2735.3333333333335</v>
      </c>
      <c r="F14" s="11">
        <v>2735.3333333333335</v>
      </c>
    </row>
    <row r="15" spans="2:6" x14ac:dyDescent="0.3">
      <c r="B15" t="s">
        <v>6</v>
      </c>
      <c r="D15" s="11">
        <v>3262.25</v>
      </c>
      <c r="E15" s="11">
        <v>2900.8125</v>
      </c>
      <c r="F15" s="11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622F-47EB-4B74-BAD5-AD3A636A4ADC}">
  <sheetPr codeName="Sheet8"/>
  <dimension ref="B1:F11"/>
  <sheetViews>
    <sheetView workbookViewId="0">
      <selection activeCell="B9" sqref="B9"/>
    </sheetView>
  </sheetViews>
  <sheetFormatPr defaultRowHeight="16.5" x14ac:dyDescent="0.3"/>
  <cols>
    <col min="1" max="1" width="1.75" customWidth="1"/>
    <col min="2" max="2" width="15.25" customWidth="1"/>
    <col min="3" max="3" width="11.25" customWidth="1"/>
    <col min="4" max="5" width="11.25" bestFit="1" customWidth="1"/>
    <col min="6" max="6" width="7.375" customWidth="1"/>
    <col min="7" max="7" width="14.5" bestFit="1" customWidth="1"/>
    <col min="8" max="8" width="22.125" bestFit="1" customWidth="1"/>
  </cols>
  <sheetData>
    <row r="1" spans="2:6" x14ac:dyDescent="0.3">
      <c r="B1" s="10" t="s">
        <v>0</v>
      </c>
      <c r="C1" t="s">
        <v>1</v>
      </c>
    </row>
    <row r="3" spans="2:6" x14ac:dyDescent="0.3">
      <c r="B3" s="10" t="s">
        <v>15</v>
      </c>
      <c r="D3" s="10" t="s">
        <v>16</v>
      </c>
    </row>
    <row r="4" spans="2:6" x14ac:dyDescent="0.3">
      <c r="B4" s="10" t="s">
        <v>101</v>
      </c>
      <c r="C4" s="10" t="s">
        <v>18</v>
      </c>
      <c r="D4" t="s">
        <v>4</v>
      </c>
      <c r="E4" t="s">
        <v>5</v>
      </c>
      <c r="F4" t="s">
        <v>6</v>
      </c>
    </row>
    <row r="5" spans="2:6" x14ac:dyDescent="0.3">
      <c r="B5" t="s">
        <v>104</v>
      </c>
      <c r="D5" s="13">
        <v>3401.8333333333335</v>
      </c>
      <c r="E5" s="13">
        <v>2749.5714285714284</v>
      </c>
      <c r="F5" s="13">
        <v>3050.6153846153848</v>
      </c>
    </row>
    <row r="6" spans="2:6" x14ac:dyDescent="0.3">
      <c r="C6" t="s">
        <v>8</v>
      </c>
      <c r="D6" s="13">
        <v>3225.3333333333335</v>
      </c>
      <c r="E6" s="13">
        <v>2180.3333333333335</v>
      </c>
      <c r="F6" s="13">
        <v>2702.8333333333335</v>
      </c>
    </row>
    <row r="7" spans="2:6" x14ac:dyDescent="0.3">
      <c r="C7" t="s">
        <v>11</v>
      </c>
      <c r="D7" s="13">
        <v>3578.3333333333335</v>
      </c>
      <c r="E7" s="13">
        <v>3176.5</v>
      </c>
      <c r="F7" s="13">
        <v>3348.7142857142858</v>
      </c>
    </row>
    <row r="8" spans="2:6" x14ac:dyDescent="0.3">
      <c r="B8" t="s">
        <v>108</v>
      </c>
      <c r="D8" s="13">
        <v>3122.6666666666665</v>
      </c>
      <c r="E8" s="13">
        <v>3018.4444444444443</v>
      </c>
      <c r="F8" s="13">
        <v>3060.1333333333332</v>
      </c>
    </row>
    <row r="9" spans="2:6" x14ac:dyDescent="0.3">
      <c r="C9" t="s">
        <v>9</v>
      </c>
      <c r="D9" s="13">
        <v>3361</v>
      </c>
      <c r="E9" s="13">
        <v>3000</v>
      </c>
      <c r="F9" s="13">
        <v>3270.75</v>
      </c>
    </row>
    <row r="10" spans="2:6" x14ac:dyDescent="0.3">
      <c r="C10" t="s">
        <v>10</v>
      </c>
      <c r="D10" s="13">
        <v>2884.3333333333335</v>
      </c>
      <c r="E10" s="13">
        <v>3020.75</v>
      </c>
      <c r="F10" s="13">
        <v>2983.5454545454545</v>
      </c>
    </row>
    <row r="11" spans="2:6" x14ac:dyDescent="0.3">
      <c r="B11" t="s">
        <v>6</v>
      </c>
      <c r="D11" s="13">
        <v>3262.25</v>
      </c>
      <c r="E11" s="13">
        <v>2900.8125</v>
      </c>
      <c r="F11" s="13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5E2E6-D31D-4490-ABA3-30F54FE9945D}">
  <sheetPr codeName="Sheet9"/>
  <dimension ref="B1:E11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3" width="11.25" bestFit="1" customWidth="1"/>
    <col min="4" max="4" width="9.25" bestFit="1" customWidth="1"/>
    <col min="5" max="5" width="7.375" bestFit="1" customWidth="1"/>
    <col min="6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100</v>
      </c>
      <c r="C5" s="15">
        <v>3401.8333333333335</v>
      </c>
      <c r="D5" s="15">
        <v>2749.5714285714284</v>
      </c>
      <c r="E5" s="15">
        <v>3050.6153846153848</v>
      </c>
    </row>
    <row r="6" spans="2:5" x14ac:dyDescent="0.3">
      <c r="B6" s="25" t="s">
        <v>8</v>
      </c>
      <c r="C6" s="15">
        <v>3225.3333333333335</v>
      </c>
      <c r="D6" s="15">
        <v>2180.3333333333335</v>
      </c>
      <c r="E6" s="15">
        <v>2702.8333333333335</v>
      </c>
    </row>
    <row r="7" spans="2:5" x14ac:dyDescent="0.3">
      <c r="B7" s="25" t="s">
        <v>11</v>
      </c>
      <c r="C7" s="15">
        <v>3578.3333333333335</v>
      </c>
      <c r="D7" s="15">
        <v>3176.5</v>
      </c>
      <c r="E7" s="15">
        <v>3348.7142857142858</v>
      </c>
    </row>
    <row r="8" spans="2:5" x14ac:dyDescent="0.3">
      <c r="B8" s="12" t="s">
        <v>105</v>
      </c>
      <c r="C8" s="15">
        <v>3122.6666666666665</v>
      </c>
      <c r="D8" s="15">
        <v>3018.4444444444443</v>
      </c>
      <c r="E8" s="15">
        <v>3060.1333333333332</v>
      </c>
    </row>
    <row r="9" spans="2:5" x14ac:dyDescent="0.3">
      <c r="B9" s="25" t="s">
        <v>9</v>
      </c>
      <c r="C9" s="15">
        <v>3361</v>
      </c>
      <c r="D9" s="15">
        <v>3000</v>
      </c>
      <c r="E9" s="15">
        <v>3270.75</v>
      </c>
    </row>
    <row r="10" spans="2:5" x14ac:dyDescent="0.3">
      <c r="B10" s="25" t="s">
        <v>10</v>
      </c>
      <c r="C10" s="15">
        <v>2884.3333333333335</v>
      </c>
      <c r="D10" s="15">
        <v>3020.75</v>
      </c>
      <c r="E10" s="15">
        <v>2983.5454545454545</v>
      </c>
    </row>
    <row r="11" spans="2:5" x14ac:dyDescent="0.3">
      <c r="B11" s="12" t="s">
        <v>6</v>
      </c>
      <c r="C11" s="15">
        <v>3262.25</v>
      </c>
      <c r="D11" s="15">
        <v>2900.8125</v>
      </c>
      <c r="E11" s="15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73125-9792-4509-9893-B2B2FE09E3C7}">
  <sheetPr codeName="Sheet10"/>
  <dimension ref="B1:E11"/>
  <sheetViews>
    <sheetView workbookViewId="0">
      <selection activeCell="B9" sqref="B9"/>
    </sheetView>
  </sheetViews>
  <sheetFormatPr defaultRowHeight="16.5" x14ac:dyDescent="0.3"/>
  <cols>
    <col min="1" max="1" width="1.75" customWidth="1"/>
    <col min="2" max="2" width="15.25" customWidth="1"/>
    <col min="3" max="3" width="11.25" customWidth="1"/>
    <col min="4" max="4" width="9.25" bestFit="1" customWidth="1"/>
    <col min="5" max="5" width="8.25" bestFit="1" customWidth="1"/>
    <col min="6" max="6" width="7.375" customWidth="1"/>
    <col min="7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100</v>
      </c>
      <c r="C5" s="14">
        <v>3401.8333333333335</v>
      </c>
      <c r="D5" s="14">
        <v>2749.5714285714284</v>
      </c>
      <c r="E5" s="14">
        <v>3050.6153846153848</v>
      </c>
    </row>
    <row r="6" spans="2:5" x14ac:dyDescent="0.3">
      <c r="B6" s="25" t="s">
        <v>11</v>
      </c>
      <c r="C6" s="14">
        <v>3578.3333333333335</v>
      </c>
      <c r="D6" s="14">
        <v>3176.5</v>
      </c>
      <c r="E6" s="14">
        <v>3348.7142857142858</v>
      </c>
    </row>
    <row r="7" spans="2:5" x14ac:dyDescent="0.3">
      <c r="B7" s="25" t="s">
        <v>8</v>
      </c>
      <c r="C7" s="14">
        <v>3225.3333333333335</v>
      </c>
      <c r="D7" s="14">
        <v>2180.3333333333335</v>
      </c>
      <c r="E7" s="14">
        <v>2702.8333333333335</v>
      </c>
    </row>
    <row r="8" spans="2:5" x14ac:dyDescent="0.3">
      <c r="B8" s="12" t="s">
        <v>105</v>
      </c>
      <c r="C8" s="14">
        <v>3122.6666666666665</v>
      </c>
      <c r="D8" s="14">
        <v>3018.4444444444443</v>
      </c>
      <c r="E8" s="14">
        <v>3060.1333333333332</v>
      </c>
    </row>
    <row r="9" spans="2:5" x14ac:dyDescent="0.3">
      <c r="B9" s="25" t="s">
        <v>10</v>
      </c>
      <c r="C9" s="14">
        <v>2884.3333333333335</v>
      </c>
      <c r="D9" s="14">
        <v>3020.75</v>
      </c>
      <c r="E9" s="14">
        <v>2983.5454545454545</v>
      </c>
    </row>
    <row r="10" spans="2:5" x14ac:dyDescent="0.3">
      <c r="B10" s="25" t="s">
        <v>9</v>
      </c>
      <c r="C10" s="14">
        <v>3361</v>
      </c>
      <c r="D10" s="14">
        <v>3000</v>
      </c>
      <c r="E10" s="14">
        <v>3270.75</v>
      </c>
    </row>
    <row r="11" spans="2:5" x14ac:dyDescent="0.3">
      <c r="B11" s="12" t="s">
        <v>6</v>
      </c>
      <c r="C11" s="14">
        <v>3262.25</v>
      </c>
      <c r="D11" s="14">
        <v>2900.8125</v>
      </c>
      <c r="E11" s="14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03213-FD6F-4516-8A78-AD5132743F09}">
  <sheetPr codeName="Sheet11"/>
  <dimension ref="B1:E11"/>
  <sheetViews>
    <sheetView workbookViewId="0"/>
  </sheetViews>
  <sheetFormatPr defaultRowHeight="16.5" x14ac:dyDescent="0.3"/>
  <cols>
    <col min="1" max="1" width="1.75" customWidth="1"/>
    <col min="2" max="2" width="15.25" customWidth="1"/>
    <col min="3" max="3" width="11.25" customWidth="1"/>
    <col min="4" max="4" width="9.25" bestFit="1" customWidth="1"/>
    <col min="5" max="5" width="8.25" bestFit="1" customWidth="1"/>
    <col min="6" max="6" width="7.375" bestFit="1" customWidth="1"/>
    <col min="7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105</v>
      </c>
      <c r="C5" s="14">
        <v>3122.6666666666665</v>
      </c>
      <c r="D5" s="14">
        <v>3018.4444444444443</v>
      </c>
      <c r="E5" s="14">
        <v>3060.1333333333332</v>
      </c>
    </row>
    <row r="6" spans="2:5" x14ac:dyDescent="0.3">
      <c r="B6" s="25" t="s">
        <v>9</v>
      </c>
      <c r="C6" s="14">
        <v>3361</v>
      </c>
      <c r="D6" s="14">
        <v>3000</v>
      </c>
      <c r="E6" s="14">
        <v>3270.75</v>
      </c>
    </row>
    <row r="7" spans="2:5" x14ac:dyDescent="0.3">
      <c r="B7" s="25" t="s">
        <v>10</v>
      </c>
      <c r="C7" s="14">
        <v>2884.3333333333335</v>
      </c>
      <c r="D7" s="14">
        <v>3020.75</v>
      </c>
      <c r="E7" s="14">
        <v>2983.5454545454545</v>
      </c>
    </row>
    <row r="8" spans="2:5" x14ac:dyDescent="0.3">
      <c r="B8" s="12" t="s">
        <v>100</v>
      </c>
      <c r="C8" s="14">
        <v>3401.8333333333335</v>
      </c>
      <c r="D8" s="14">
        <v>2749.5714285714284</v>
      </c>
      <c r="E8" s="14">
        <v>3050.6153846153848</v>
      </c>
    </row>
    <row r="9" spans="2:5" x14ac:dyDescent="0.3">
      <c r="B9" s="25" t="s">
        <v>8</v>
      </c>
      <c r="C9" s="14">
        <v>3225.3333333333335</v>
      </c>
      <c r="D9" s="14">
        <v>2180.3333333333335</v>
      </c>
      <c r="E9" s="14">
        <v>2702.8333333333335</v>
      </c>
    </row>
    <row r="10" spans="2:5" x14ac:dyDescent="0.3">
      <c r="B10" s="25" t="s">
        <v>11</v>
      </c>
      <c r="C10" s="14">
        <v>3578.3333333333335</v>
      </c>
      <c r="D10" s="14">
        <v>3176.5</v>
      </c>
      <c r="E10" s="14">
        <v>3348.7142857142858</v>
      </c>
    </row>
    <row r="11" spans="2:5" x14ac:dyDescent="0.3">
      <c r="B11" s="12" t="s">
        <v>6</v>
      </c>
      <c r="C11" s="14">
        <v>3262.25</v>
      </c>
      <c r="D11" s="14">
        <v>2900.8125</v>
      </c>
      <c r="E11" s="14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08F4-A297-4A0A-98B8-BF5AB8DEED13}">
  <sheetPr codeName="Sheet13"/>
  <dimension ref="B1:E11"/>
  <sheetViews>
    <sheetView workbookViewId="0"/>
  </sheetViews>
  <sheetFormatPr defaultRowHeight="16.5" x14ac:dyDescent="0.3"/>
  <cols>
    <col min="1" max="1" width="1.75" customWidth="1"/>
    <col min="2" max="2" width="15.25" customWidth="1"/>
    <col min="3" max="3" width="11.25" customWidth="1"/>
    <col min="4" max="4" width="9.25" bestFit="1" customWidth="1"/>
    <col min="5" max="5" width="7.375" customWidth="1"/>
    <col min="6" max="7" width="10.25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105</v>
      </c>
      <c r="C5" s="13">
        <v>3122.6666666666665</v>
      </c>
      <c r="D5" s="13">
        <v>3018.4444444444443</v>
      </c>
      <c r="E5" s="13">
        <v>3060.1333333333332</v>
      </c>
    </row>
    <row r="6" spans="2:5" x14ac:dyDescent="0.3">
      <c r="B6" s="25" t="s">
        <v>9</v>
      </c>
      <c r="C6" s="13">
        <v>3361</v>
      </c>
      <c r="D6" s="13">
        <v>3000</v>
      </c>
      <c r="E6" s="13">
        <v>3270.75</v>
      </c>
    </row>
    <row r="7" spans="2:5" x14ac:dyDescent="0.3">
      <c r="B7" s="25" t="s">
        <v>10</v>
      </c>
      <c r="C7" s="13">
        <v>2884.3333333333335</v>
      </c>
      <c r="D7" s="13">
        <v>3020.75</v>
      </c>
      <c r="E7" s="13">
        <v>2983.5454545454545</v>
      </c>
    </row>
    <row r="8" spans="2:5" x14ac:dyDescent="0.3">
      <c r="B8" s="12" t="s">
        <v>100</v>
      </c>
      <c r="C8" s="13">
        <v>3401.8333333333335</v>
      </c>
      <c r="D8" s="13">
        <v>2749.5714285714284</v>
      </c>
      <c r="E8" s="13">
        <v>3050.6153846153848</v>
      </c>
    </row>
    <row r="9" spans="2:5" x14ac:dyDescent="0.3">
      <c r="B9" s="25" t="s">
        <v>8</v>
      </c>
      <c r="C9" s="13">
        <v>3225.3333333333335</v>
      </c>
      <c r="D9" s="13">
        <v>2180.3333333333335</v>
      </c>
      <c r="E9" s="13">
        <v>2702.8333333333335</v>
      </c>
    </row>
    <row r="10" spans="2:5" x14ac:dyDescent="0.3">
      <c r="B10" s="25" t="s">
        <v>11</v>
      </c>
      <c r="C10" s="13">
        <v>3578.3333333333335</v>
      </c>
      <c r="D10" s="13">
        <v>3176.5</v>
      </c>
      <c r="E10" s="13">
        <v>3348.7142857142858</v>
      </c>
    </row>
    <row r="11" spans="2:5" x14ac:dyDescent="0.3">
      <c r="B11" s="12" t="s">
        <v>6</v>
      </c>
      <c r="C11" s="13">
        <v>3262.25</v>
      </c>
      <c r="D11" s="13">
        <v>2900.8125</v>
      </c>
      <c r="E11" s="13">
        <v>3055.7142857142858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2A74-43F9-4978-AC56-6A3BF7A6684B}">
  <sheetPr codeName="Sheet12"/>
  <dimension ref="A2:E8"/>
  <sheetViews>
    <sheetView workbookViewId="0"/>
  </sheetViews>
  <sheetFormatPr defaultRowHeight="16.5" x14ac:dyDescent="0.3"/>
  <cols>
    <col min="1" max="1" width="11" customWidth="1"/>
    <col min="2" max="4" width="10.25" bestFit="1" customWidth="1"/>
    <col min="5" max="5" width="15.25" customWidth="1"/>
  </cols>
  <sheetData>
    <row r="2" spans="1:5" x14ac:dyDescent="0.3">
      <c r="A2" s="10" t="s">
        <v>25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3">
      <c r="A3" t="s">
        <v>30</v>
      </c>
      <c r="B3" s="11">
        <v>66</v>
      </c>
      <c r="C3" s="11">
        <v>55</v>
      </c>
      <c r="D3" s="11">
        <v>68</v>
      </c>
      <c r="E3" s="11">
        <v>7</v>
      </c>
    </row>
    <row r="4" spans="1:5" x14ac:dyDescent="0.3">
      <c r="A4" t="s">
        <v>31</v>
      </c>
      <c r="B4" s="11">
        <v>87</v>
      </c>
      <c r="C4" s="11">
        <v>77</v>
      </c>
      <c r="D4" s="11">
        <v>82</v>
      </c>
      <c r="E4" s="11">
        <v>5</v>
      </c>
    </row>
    <row r="5" spans="1:5" x14ac:dyDescent="0.3">
      <c r="A5" t="s">
        <v>32</v>
      </c>
      <c r="B5" s="11">
        <v>97</v>
      </c>
      <c r="C5" s="11">
        <v>90</v>
      </c>
      <c r="D5" s="11">
        <v>57</v>
      </c>
      <c r="E5" s="11">
        <v>21.361959960016168</v>
      </c>
    </row>
    <row r="6" spans="1:5" x14ac:dyDescent="0.3">
      <c r="A6" t="s">
        <v>33</v>
      </c>
      <c r="B6" s="11">
        <v>99</v>
      </c>
      <c r="C6" s="11">
        <v>72</v>
      </c>
      <c r="D6" s="11">
        <v>79</v>
      </c>
      <c r="E6" s="11">
        <v>14.011899704655823</v>
      </c>
    </row>
    <row r="7" spans="1:5" x14ac:dyDescent="0.3">
      <c r="A7" t="s">
        <v>34</v>
      </c>
      <c r="B7" s="11">
        <v>692</v>
      </c>
      <c r="C7" s="11">
        <v>799</v>
      </c>
      <c r="D7" s="11">
        <v>759</v>
      </c>
      <c r="E7" s="11">
        <v>54.064775963653084</v>
      </c>
    </row>
    <row r="8" spans="1:5" x14ac:dyDescent="0.3">
      <c r="A8" t="s">
        <v>6</v>
      </c>
      <c r="B8" s="11">
        <v>1041</v>
      </c>
      <c r="C8" s="11">
        <v>1093</v>
      </c>
      <c r="D8" s="11">
        <v>1045</v>
      </c>
      <c r="E8" s="11">
        <v>28.936712552280941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9D3-6FE6-4FF4-8BC0-A990B6F13DCE}">
  <sheetPr codeName="Sheet14">
    <tabColor theme="5" tint="0.59999389629810485"/>
  </sheetPr>
  <dimension ref="B2:E13"/>
  <sheetViews>
    <sheetView workbookViewId="0"/>
  </sheetViews>
  <sheetFormatPr defaultRowHeight="16.5" x14ac:dyDescent="0.3"/>
  <cols>
    <col min="1" max="1" width="2.875" customWidth="1"/>
    <col min="2" max="2" width="19.375" bestFit="1" customWidth="1"/>
    <col min="3" max="3" width="14.125" bestFit="1" customWidth="1"/>
    <col min="4" max="4" width="11.25" bestFit="1" customWidth="1"/>
    <col min="5" max="6" width="9.625" bestFit="1" customWidth="1"/>
    <col min="7" max="8" width="19.375" bestFit="1" customWidth="1"/>
  </cols>
  <sheetData>
    <row r="2" spans="2:5" x14ac:dyDescent="0.3">
      <c r="D2" s="10" t="s">
        <v>45</v>
      </c>
    </row>
    <row r="3" spans="2:5" x14ac:dyDescent="0.3">
      <c r="B3" s="10" t="s">
        <v>46</v>
      </c>
      <c r="C3" s="10" t="s">
        <v>47</v>
      </c>
      <c r="D3" t="s">
        <v>35</v>
      </c>
      <c r="E3" t="s">
        <v>36</v>
      </c>
    </row>
    <row r="4" spans="2:5" x14ac:dyDescent="0.3">
      <c r="B4" t="s">
        <v>37</v>
      </c>
      <c r="C4" t="s">
        <v>41</v>
      </c>
      <c r="D4" s="15">
        <v>96</v>
      </c>
      <c r="E4" s="15">
        <v>126.33333333333333</v>
      </c>
    </row>
    <row r="5" spans="2:5" x14ac:dyDescent="0.3">
      <c r="C5" t="s">
        <v>43</v>
      </c>
      <c r="D5" s="15">
        <v>495000</v>
      </c>
      <c r="E5" s="15">
        <v>495000</v>
      </c>
    </row>
    <row r="6" spans="2:5" x14ac:dyDescent="0.3">
      <c r="B6" t="s">
        <v>38</v>
      </c>
      <c r="C6" t="s">
        <v>41</v>
      </c>
      <c r="D6" s="15">
        <v>183.2</v>
      </c>
      <c r="E6" s="15">
        <v>174</v>
      </c>
    </row>
    <row r="7" spans="2:5" x14ac:dyDescent="0.3">
      <c r="C7" t="s">
        <v>43</v>
      </c>
      <c r="D7" s="15">
        <v>500400</v>
      </c>
      <c r="E7" s="15">
        <v>441000</v>
      </c>
    </row>
    <row r="8" spans="2:5" x14ac:dyDescent="0.3">
      <c r="B8" t="s">
        <v>39</v>
      </c>
      <c r="C8" t="s">
        <v>41</v>
      </c>
      <c r="D8" s="15">
        <v>89</v>
      </c>
      <c r="E8" s="15">
        <v>132.80000000000001</v>
      </c>
    </row>
    <row r="9" spans="2:5" x14ac:dyDescent="0.3">
      <c r="C9" t="s">
        <v>43</v>
      </c>
      <c r="D9" s="15">
        <v>289000</v>
      </c>
      <c r="E9" s="15">
        <v>415600</v>
      </c>
    </row>
    <row r="10" spans="2:5" x14ac:dyDescent="0.3">
      <c r="B10" t="s">
        <v>40</v>
      </c>
      <c r="C10" t="s">
        <v>41</v>
      </c>
      <c r="D10" s="15">
        <v>121.66666666666667</v>
      </c>
      <c r="E10" s="15">
        <v>194</v>
      </c>
    </row>
    <row r="11" spans="2:5" x14ac:dyDescent="0.3">
      <c r="C11" t="s">
        <v>43</v>
      </c>
      <c r="D11" s="15">
        <v>238333.33333333334</v>
      </c>
      <c r="E11" s="15">
        <v>495000</v>
      </c>
    </row>
    <row r="12" spans="2:5" x14ac:dyDescent="0.3">
      <c r="B12" t="s">
        <v>42</v>
      </c>
      <c r="D12" s="15">
        <v>137.58333333333334</v>
      </c>
      <c r="E12" s="15">
        <v>143.86666666666667</v>
      </c>
    </row>
    <row r="13" spans="2:5" x14ac:dyDescent="0.3">
      <c r="B13" t="s">
        <v>44</v>
      </c>
      <c r="D13" s="15">
        <v>398750</v>
      </c>
      <c r="E13" s="15">
        <v>461333.33333333331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12172-B10A-4413-9156-7464819FFE8F}">
  <sheetPr codeName="Sheet15">
    <tabColor theme="5" tint="0.59999389629810485"/>
  </sheetPr>
  <dimension ref="A2:D8"/>
  <sheetViews>
    <sheetView workbookViewId="0"/>
  </sheetViews>
  <sheetFormatPr defaultRowHeight="16.5" x14ac:dyDescent="0.3"/>
  <cols>
    <col min="1" max="1" width="15.25" bestFit="1" customWidth="1"/>
    <col min="2" max="3" width="14.875" bestFit="1" customWidth="1"/>
    <col min="4" max="4" width="13.625" bestFit="1" customWidth="1"/>
    <col min="5" max="5" width="12" bestFit="1" customWidth="1"/>
  </cols>
  <sheetData>
    <row r="2" spans="1:4" x14ac:dyDescent="0.3">
      <c r="A2" s="10" t="s">
        <v>51</v>
      </c>
      <c r="B2" s="10" t="s">
        <v>57</v>
      </c>
    </row>
    <row r="3" spans="1:4" x14ac:dyDescent="0.3">
      <c r="A3" s="10" t="s">
        <v>58</v>
      </c>
      <c r="B3" t="s">
        <v>49</v>
      </c>
      <c r="C3" t="s">
        <v>48</v>
      </c>
      <c r="D3" t="s">
        <v>50</v>
      </c>
    </row>
    <row r="4" spans="1:4" x14ac:dyDescent="0.3">
      <c r="A4" t="s">
        <v>52</v>
      </c>
      <c r="B4" s="14" t="s">
        <v>56</v>
      </c>
      <c r="C4" s="14">
        <v>2328000</v>
      </c>
      <c r="D4" s="14">
        <v>13050500</v>
      </c>
    </row>
    <row r="5" spans="1:4" x14ac:dyDescent="0.3">
      <c r="A5" t="s">
        <v>53</v>
      </c>
      <c r="B5" s="14">
        <v>58500450</v>
      </c>
      <c r="C5" s="14">
        <v>87454900</v>
      </c>
      <c r="D5" s="14">
        <v>46031310</v>
      </c>
    </row>
    <row r="6" spans="1:4" x14ac:dyDescent="0.3">
      <c r="A6" t="s">
        <v>54</v>
      </c>
      <c r="B6" s="14">
        <v>54316800</v>
      </c>
      <c r="C6" s="14">
        <v>19708700</v>
      </c>
      <c r="D6" s="14">
        <v>3214400</v>
      </c>
    </row>
    <row r="7" spans="1:4" x14ac:dyDescent="0.3">
      <c r="A7" t="s">
        <v>55</v>
      </c>
      <c r="B7" s="14">
        <v>209935440</v>
      </c>
      <c r="C7" s="14">
        <v>17324320</v>
      </c>
      <c r="D7" s="14">
        <v>2017600</v>
      </c>
    </row>
    <row r="8" spans="1:4" x14ac:dyDescent="0.3">
      <c r="A8" t="s">
        <v>6</v>
      </c>
      <c r="B8" s="14">
        <v>322752690</v>
      </c>
      <c r="C8" s="14">
        <v>126815920</v>
      </c>
      <c r="D8" s="14">
        <v>64313810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5476E-682A-4217-B8D3-FB0D1FBE103C}">
  <sheetPr codeName="Sheet16">
    <tabColor theme="5" tint="0.59999389629810485"/>
  </sheetPr>
  <dimension ref="A2:D19"/>
  <sheetViews>
    <sheetView workbookViewId="0"/>
  </sheetViews>
  <sheetFormatPr defaultRowHeight="16.5" x14ac:dyDescent="0.3"/>
  <cols>
    <col min="1" max="1" width="12.125" bestFit="1" customWidth="1"/>
    <col min="2" max="2" width="13" bestFit="1" customWidth="1"/>
    <col min="3" max="3" width="17.5" bestFit="1" customWidth="1"/>
    <col min="4" max="5" width="17.375" bestFit="1" customWidth="1"/>
  </cols>
  <sheetData>
    <row r="2" spans="1:4" x14ac:dyDescent="0.3">
      <c r="A2" s="10" t="s">
        <v>59</v>
      </c>
      <c r="B2" t="s">
        <v>63</v>
      </c>
    </row>
    <row r="4" spans="1:4" x14ac:dyDescent="0.3">
      <c r="A4" s="10" t="s">
        <v>64</v>
      </c>
      <c r="B4" s="10" t="s">
        <v>62</v>
      </c>
      <c r="C4" t="s">
        <v>60</v>
      </c>
      <c r="D4" t="s">
        <v>61</v>
      </c>
    </row>
    <row r="5" spans="1:4" x14ac:dyDescent="0.3">
      <c r="A5" t="s">
        <v>65</v>
      </c>
      <c r="C5" s="11"/>
      <c r="D5" s="17"/>
    </row>
    <row r="6" spans="1:4" x14ac:dyDescent="0.3">
      <c r="B6" s="16">
        <v>0.45445601851851852</v>
      </c>
      <c r="C6" s="11">
        <v>100</v>
      </c>
      <c r="D6" s="17">
        <v>710000</v>
      </c>
    </row>
    <row r="7" spans="1:4" x14ac:dyDescent="0.3">
      <c r="B7" s="16">
        <v>0.40239583333333334</v>
      </c>
      <c r="C7" s="11">
        <v>73</v>
      </c>
      <c r="D7" s="17">
        <v>656000</v>
      </c>
    </row>
    <row r="8" spans="1:4" x14ac:dyDescent="0.3">
      <c r="B8" s="16">
        <v>0.45401620370370371</v>
      </c>
      <c r="C8" s="11">
        <v>111</v>
      </c>
      <c r="D8" s="17">
        <v>642000</v>
      </c>
    </row>
    <row r="9" spans="1:4" x14ac:dyDescent="0.3">
      <c r="B9" s="16">
        <v>0.46825231481481483</v>
      </c>
      <c r="C9" s="11">
        <v>25</v>
      </c>
      <c r="D9" s="17">
        <v>560000</v>
      </c>
    </row>
    <row r="10" spans="1:4" x14ac:dyDescent="0.3">
      <c r="B10" s="16">
        <v>0.38557870370370373</v>
      </c>
      <c r="C10" s="11">
        <v>12</v>
      </c>
      <c r="D10" s="17">
        <v>444000</v>
      </c>
    </row>
    <row r="11" spans="1:4" x14ac:dyDescent="0.3">
      <c r="A11" t="s">
        <v>67</v>
      </c>
      <c r="C11" s="11">
        <v>321</v>
      </c>
      <c r="D11" s="17">
        <v>3012000</v>
      </c>
    </row>
    <row r="12" spans="1:4" x14ac:dyDescent="0.3">
      <c r="A12" t="s">
        <v>66</v>
      </c>
      <c r="C12" s="11"/>
      <c r="D12" s="17"/>
    </row>
    <row r="13" spans="1:4" x14ac:dyDescent="0.3">
      <c r="B13" s="16">
        <v>0.71687499999999993</v>
      </c>
      <c r="C13" s="11">
        <v>26</v>
      </c>
      <c r="D13" s="17">
        <v>982000</v>
      </c>
    </row>
    <row r="14" spans="1:4" x14ac:dyDescent="0.3">
      <c r="B14" s="16">
        <v>0.58059027777777772</v>
      </c>
      <c r="C14" s="11">
        <v>150</v>
      </c>
      <c r="D14" s="17">
        <v>720000</v>
      </c>
    </row>
    <row r="15" spans="1:4" x14ac:dyDescent="0.3">
      <c r="B15" s="16">
        <v>0.65965277777777775</v>
      </c>
      <c r="C15" s="11">
        <v>132</v>
      </c>
      <c r="D15" s="17">
        <v>684000</v>
      </c>
    </row>
    <row r="16" spans="1:4" x14ac:dyDescent="0.3">
      <c r="B16" s="16">
        <v>0.51296296296296295</v>
      </c>
      <c r="C16" s="11">
        <v>73</v>
      </c>
      <c r="D16" s="17">
        <v>656000</v>
      </c>
    </row>
    <row r="17" spans="1:4" x14ac:dyDescent="0.3">
      <c r="B17" s="16">
        <v>0.77015046296296286</v>
      </c>
      <c r="C17" s="11">
        <v>38.5</v>
      </c>
      <c r="D17" s="17">
        <v>497000</v>
      </c>
    </row>
    <row r="18" spans="1:4" x14ac:dyDescent="0.3">
      <c r="A18" t="s">
        <v>68</v>
      </c>
      <c r="C18" s="11">
        <v>419.5</v>
      </c>
      <c r="D18" s="17">
        <v>3539000</v>
      </c>
    </row>
    <row r="19" spans="1:4" x14ac:dyDescent="0.3">
      <c r="A19" t="s">
        <v>6</v>
      </c>
      <c r="C19" s="11">
        <v>740.5</v>
      </c>
      <c r="D19" s="17">
        <v>6551000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47666-899A-4DE5-ADA5-B81121ECA554}">
  <sheetPr codeName="Sheet17">
    <tabColor theme="5" tint="0.59999389629810485"/>
  </sheetPr>
  <dimension ref="A1:G7"/>
  <sheetViews>
    <sheetView workbookViewId="0">
      <selection activeCell="F27" sqref="F27"/>
    </sheetView>
  </sheetViews>
  <sheetFormatPr defaultRowHeight="16.5" x14ac:dyDescent="0.3"/>
  <cols>
    <col min="1" max="1" width="14.5" bestFit="1" customWidth="1"/>
    <col min="2" max="6" width="13.25" bestFit="1" customWidth="1"/>
    <col min="7" max="7" width="7.375" bestFit="1" customWidth="1"/>
    <col min="8" max="8" width="11.25" bestFit="1" customWidth="1"/>
    <col min="9" max="9" width="7.375" bestFit="1" customWidth="1"/>
  </cols>
  <sheetData>
    <row r="1" spans="1:7" x14ac:dyDescent="0.3">
      <c r="A1" s="10" t="s">
        <v>69</v>
      </c>
      <c r="B1" t="s" vm="1">
        <v>70</v>
      </c>
    </row>
    <row r="3" spans="1:7" x14ac:dyDescent="0.3">
      <c r="A3" s="19" t="s">
        <v>73</v>
      </c>
      <c r="B3" s="20"/>
      <c r="C3" s="19" t="s">
        <v>78</v>
      </c>
      <c r="D3" s="20"/>
      <c r="E3" s="20"/>
      <c r="F3" s="20"/>
      <c r="G3" s="20"/>
    </row>
    <row r="4" spans="1:7" x14ac:dyDescent="0.3">
      <c r="A4" s="19" t="s">
        <v>79</v>
      </c>
      <c r="B4" s="19" t="s">
        <v>80</v>
      </c>
      <c r="C4" s="21" t="s">
        <v>74</v>
      </c>
      <c r="D4" s="21" t="s">
        <v>75</v>
      </c>
      <c r="E4" s="21" t="s">
        <v>76</v>
      </c>
      <c r="F4" s="21" t="s">
        <v>77</v>
      </c>
      <c r="G4" s="21" t="s">
        <v>6</v>
      </c>
    </row>
    <row r="5" spans="1:7" x14ac:dyDescent="0.3">
      <c r="A5" s="23" t="s">
        <v>72</v>
      </c>
      <c r="B5" s="24"/>
      <c r="C5" s="18">
        <v>4.7</v>
      </c>
      <c r="D5" s="18">
        <v>22.7</v>
      </c>
      <c r="E5" s="18">
        <v>25.6</v>
      </c>
      <c r="F5" s="18">
        <v>17.7</v>
      </c>
      <c r="G5" s="18">
        <v>70.7</v>
      </c>
    </row>
    <row r="6" spans="1:7" x14ac:dyDescent="0.3">
      <c r="A6" s="23" t="s">
        <v>71</v>
      </c>
      <c r="B6" s="24"/>
      <c r="C6" s="18">
        <v>8.8000000000000007</v>
      </c>
      <c r="D6" s="18">
        <v>3.3</v>
      </c>
      <c r="E6" s="18">
        <v>23.2</v>
      </c>
      <c r="F6" s="18">
        <v>18.600000000000001</v>
      </c>
      <c r="G6" s="18">
        <v>53.9</v>
      </c>
    </row>
    <row r="7" spans="1:7" x14ac:dyDescent="0.3">
      <c r="A7" s="23" t="s">
        <v>6</v>
      </c>
      <c r="B7" s="24"/>
      <c r="C7" s="18">
        <v>13.5</v>
      </c>
      <c r="D7" s="18">
        <v>26</v>
      </c>
      <c r="E7" s="18">
        <v>48.8</v>
      </c>
      <c r="F7" s="18">
        <v>36.299999999999997</v>
      </c>
      <c r="G7" s="18">
        <v>124.6</v>
      </c>
    </row>
  </sheetData>
  <mergeCells count="3">
    <mergeCell ref="A5:B5"/>
    <mergeCell ref="A6:B6"/>
    <mergeCell ref="A7:B7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AB6F-3315-4605-8309-4B41CC885196}">
  <sheetPr codeName="Sheet19">
    <tabColor theme="5" tint="0.59999389629810485"/>
  </sheetPr>
  <dimension ref="A1:G2"/>
  <sheetViews>
    <sheetView workbookViewId="0">
      <selection activeCell="K25" sqref="K25"/>
    </sheetView>
  </sheetViews>
  <sheetFormatPr defaultRowHeight="16.5" x14ac:dyDescent="0.3"/>
  <cols>
    <col min="1" max="1" width="10.375" customWidth="1"/>
    <col min="3" max="6" width="10.25" customWidth="1"/>
    <col min="7" max="7" width="12.125" customWidth="1"/>
  </cols>
  <sheetData>
    <row r="1" spans="1:7" x14ac:dyDescent="0.3">
      <c r="A1" t="s">
        <v>89</v>
      </c>
      <c r="B1" t="s">
        <v>94</v>
      </c>
      <c r="C1" t="s">
        <v>88</v>
      </c>
      <c r="D1" t="s">
        <v>95</v>
      </c>
      <c r="E1" t="s">
        <v>96</v>
      </c>
      <c r="F1" t="s">
        <v>97</v>
      </c>
      <c r="G1" t="s">
        <v>81</v>
      </c>
    </row>
    <row r="2" spans="1:7" x14ac:dyDescent="0.3">
      <c r="A2" t="s">
        <v>84</v>
      </c>
      <c r="B2" t="s">
        <v>98</v>
      </c>
      <c r="C2" t="s">
        <v>82</v>
      </c>
      <c r="D2">
        <v>48</v>
      </c>
      <c r="E2">
        <v>47</v>
      </c>
      <c r="F2">
        <v>46</v>
      </c>
      <c r="G2" t="s">
        <v>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2ADAA-64E2-47EA-8109-6D483F5315BD}">
  <sheetPr codeName="Sheet18">
    <tabColor theme="5" tint="0.59999389629810485"/>
  </sheetPr>
  <dimension ref="B2:F11"/>
  <sheetViews>
    <sheetView workbookViewId="0">
      <selection activeCell="R34" sqref="R34"/>
    </sheetView>
  </sheetViews>
  <sheetFormatPr defaultRowHeight="16.5" x14ac:dyDescent="0.3"/>
  <cols>
    <col min="1" max="1" width="2.375" customWidth="1"/>
    <col min="2" max="3" width="11.375" bestFit="1" customWidth="1"/>
    <col min="4" max="5" width="11.25" bestFit="1" customWidth="1"/>
    <col min="6" max="6" width="9.5" bestFit="1" customWidth="1"/>
  </cols>
  <sheetData>
    <row r="2" spans="2:6" x14ac:dyDescent="0.3">
      <c r="B2" s="10" t="s">
        <v>81</v>
      </c>
      <c r="C2" t="s">
        <v>90</v>
      </c>
    </row>
    <row r="4" spans="2:6" x14ac:dyDescent="0.3">
      <c r="B4" s="10" t="s">
        <v>87</v>
      </c>
      <c r="D4" s="10" t="s">
        <v>88</v>
      </c>
    </row>
    <row r="5" spans="2:6" x14ac:dyDescent="0.3">
      <c r="B5" s="10" t="s">
        <v>91</v>
      </c>
      <c r="C5" s="10" t="s">
        <v>89</v>
      </c>
      <c r="D5" t="s">
        <v>82</v>
      </c>
      <c r="E5" t="s">
        <v>83</v>
      </c>
      <c r="F5" t="s">
        <v>6</v>
      </c>
    </row>
    <row r="6" spans="2:6" x14ac:dyDescent="0.3">
      <c r="B6" t="s">
        <v>92</v>
      </c>
      <c r="D6" s="22">
        <v>0.34900990099009899</v>
      </c>
      <c r="E6" s="22">
        <v>0.34158415841584161</v>
      </c>
      <c r="F6" s="22">
        <v>0.69059405940594054</v>
      </c>
    </row>
    <row r="7" spans="2:6" x14ac:dyDescent="0.3">
      <c r="C7" t="s">
        <v>84</v>
      </c>
      <c r="D7" s="22">
        <v>0.34900990099009899</v>
      </c>
      <c r="E7" s="22">
        <v>0</v>
      </c>
      <c r="F7" s="22">
        <v>0.34900990099009899</v>
      </c>
    </row>
    <row r="8" spans="2:6" x14ac:dyDescent="0.3">
      <c r="C8" t="s">
        <v>85</v>
      </c>
      <c r="D8" s="22">
        <v>0</v>
      </c>
      <c r="E8" s="22">
        <v>0.34158415841584161</v>
      </c>
      <c r="F8" s="22">
        <v>0.34158415841584161</v>
      </c>
    </row>
    <row r="9" spans="2:6" x14ac:dyDescent="0.3">
      <c r="B9" t="s">
        <v>93</v>
      </c>
      <c r="D9" s="22">
        <v>0</v>
      </c>
      <c r="E9" s="22">
        <v>0.3094059405940594</v>
      </c>
      <c r="F9" s="22">
        <v>0.3094059405940594</v>
      </c>
    </row>
    <row r="10" spans="2:6" x14ac:dyDescent="0.3">
      <c r="C10" t="s">
        <v>86</v>
      </c>
      <c r="D10" s="22">
        <v>0</v>
      </c>
      <c r="E10" s="22">
        <v>0.3094059405940594</v>
      </c>
      <c r="F10" s="22">
        <v>0.3094059405940594</v>
      </c>
    </row>
    <row r="11" spans="2:6" x14ac:dyDescent="0.3">
      <c r="B11" t="s">
        <v>6</v>
      </c>
      <c r="D11" s="22">
        <v>0.34900990099009899</v>
      </c>
      <c r="E11" s="22">
        <v>0.65099009900990101</v>
      </c>
      <c r="F11" s="2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합격포인트_01-유형1</vt:lpstr>
      <vt:lpstr>01-유형2</vt:lpstr>
      <vt:lpstr>02</vt:lpstr>
      <vt:lpstr>03</vt:lpstr>
      <vt:lpstr>04</vt:lpstr>
      <vt:lpstr>05</vt:lpstr>
      <vt:lpstr>06-유형1</vt:lpstr>
      <vt:lpstr>06-유형2</vt:lpstr>
      <vt:lpstr>07</vt:lpstr>
      <vt:lpstr>08-유형1</vt:lpstr>
      <vt:lpstr>08-유형2</vt:lpstr>
      <vt:lpstr>09</vt:lpstr>
      <vt:lpstr>10</vt:lpstr>
      <vt:lpstr>대표기출문제_기출1</vt:lpstr>
      <vt:lpstr>기출2</vt:lpstr>
      <vt:lpstr>기출3</vt:lpstr>
      <vt:lpstr>기출4</vt:lpstr>
      <vt:lpstr>광자통신연구원</vt:lpstr>
      <vt:lpstr>기출5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2023-07-14T08:11:50Z</dcterms:created>
  <dcterms:modified xsi:type="dcterms:W3CDTF">2023-11-21T15:16:28Z</dcterms:modified>
</cp:coreProperties>
</file>