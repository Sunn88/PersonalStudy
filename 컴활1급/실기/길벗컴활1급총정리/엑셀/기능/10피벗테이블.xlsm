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D41494BC-BDBE-4EED-A131-F4599104235F}" xr6:coauthVersionLast="47" xr6:coauthVersionMax="47" xr10:uidLastSave="{00000000-0000-0000-0000-000000000000}"/>
  <bookViews>
    <workbookView xWindow="10455" yWindow="510" windowWidth="16860" windowHeight="13095" tabRatio="931" activeTab="7" xr2:uid="{789916EF-910B-4581-9B66-13DEB8513E6C}"/>
  </bookViews>
  <sheets>
    <sheet name="합격포인트_01-유형1" sheetId="1" r:id="rId1"/>
    <sheet name="01-유형2" sheetId="2" r:id="rId2"/>
    <sheet name="02" sheetId="3" r:id="rId3"/>
    <sheet name="03" sheetId="4" r:id="rId4"/>
    <sheet name="04" sheetId="5" r:id="rId5"/>
    <sheet name="05" sheetId="6" r:id="rId6"/>
    <sheet name="06-유형1" sheetId="7" r:id="rId7"/>
    <sheet name="06-유형2" sheetId="8" r:id="rId8"/>
    <sheet name="07" sheetId="9" r:id="rId9"/>
    <sheet name="08-유형1" sheetId="10" r:id="rId10"/>
    <sheet name="08-유형2" sheetId="11" r:id="rId11"/>
    <sheet name="09" sheetId="12" r:id="rId12"/>
    <sheet name="10" sheetId="13" r:id="rId13"/>
    <sheet name="대표기출문제_기출1" sheetId="14" r:id="rId14"/>
    <sheet name="기출2" sheetId="15" r:id="rId15"/>
    <sheet name="기출3" sheetId="16" r:id="rId16"/>
    <sheet name="기출4" sheetId="17" r:id="rId17"/>
    <sheet name="기출5" sheetId="18" r:id="rId18"/>
  </sheets>
  <calcPr calcId="191029"/>
  <pivotCaches>
    <pivotCache cacheId="25" r:id="rId19"/>
    <pivotCache cacheId="22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A0F7D-7B07-4628-9E12-D9D5357034E8}" sourceFile="F:\2021\총정리 실습파일\엑셀\기능\재배현황02.accdb" keepAlive="1" name="재배현황02" type="5" refreshedVersion="8" background="1">
    <dbPr connection="Provider=Microsoft.ACE.OLEDB.12.0;User ID=Admin;Data Source=F:\2021\총정리 실습파일\엑셀\기능\재배현황02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농작물" commandType="3"/>
  </connection>
</connections>
</file>

<file path=xl/sharedStrings.xml><?xml version="1.0" encoding="utf-8"?>
<sst xmlns="http://schemas.openxmlformats.org/spreadsheetml/2006/main" count="128" uniqueCount="29">
  <si>
    <t>생산지</t>
  </si>
  <si>
    <t>(모두)</t>
  </si>
  <si>
    <t>합계 : 재배면적</t>
  </si>
  <si>
    <t>열 레이블</t>
  </si>
  <si>
    <t>계약재배</t>
  </si>
  <si>
    <t>포전매매</t>
  </si>
  <si>
    <t>총합계</t>
  </si>
  <si>
    <t>행 레이블</t>
  </si>
  <si>
    <t>가을</t>
  </si>
  <si>
    <t>봄</t>
  </si>
  <si>
    <t>여름</t>
  </si>
  <si>
    <t>월동</t>
  </si>
  <si>
    <t>전체 합계 : 재배면적</t>
  </si>
  <si>
    <t>전체 합계 : 거래수수료</t>
  </si>
  <si>
    <t>합계 : 거래수수료</t>
  </si>
  <si>
    <t>평균 : 재배면적</t>
  </si>
  <si>
    <t>계약종류</t>
  </si>
  <si>
    <t>계약일</t>
  </si>
  <si>
    <t>재배시기</t>
  </si>
  <si>
    <t>성명</t>
  </si>
  <si>
    <t>합계 : 1월</t>
  </si>
  <si>
    <t>합계 : 2월</t>
  </si>
  <si>
    <t>합계 : 3월</t>
  </si>
  <si>
    <t>구미성</t>
  </si>
  <si>
    <t>김숙희</t>
  </si>
  <si>
    <t>이영자</t>
  </si>
  <si>
    <t>최복선</t>
  </si>
  <si>
    <t>(비어 있음)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</si>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</sst>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" fontId="0" fillId="0" borderId="0" xfId="0" applyNumberFormat="1">
      <alignment vertical="center"/>
    </xf>
    <xf numFmtId="41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8">
    <dxf>
      <numFmt numFmtId="1" formatCode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1" formatCode="0"/>
    </dxf>
    <dxf>
      <numFmt numFmtId="1" formatCode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&#44600;&#48279;&#52980;&#54876;1&#44553;&#52509;&#51221;&#47532;/&#50641;&#49472;/&#44592;&#45733;_&#44592;&#51316;/10&#54588;&#48279;&#53580;&#51060;&#48660;%20&#51221;&#45813;%20-%20&#48373;&#49324;&#48376;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121.724789236112" backgroundQuery="1" createdVersion="8" refreshedVersion="8" minRefreshableVersion="3" recordCount="28" xr:uid="{0DB4F0D7-F370-4BE7-9299-574240F430BB}">
  <cacheSource type="external" connectionId="1"/>
  <cacheFields count="8">
    <cacheField name="농작물" numFmtId="0">
      <sharedItems count="5">
        <s v="고추"/>
        <s v="참깨"/>
        <s v="양파"/>
        <s v="마늘"/>
        <s v="감자"/>
      </sharedItems>
    </cacheField>
    <cacheField name="생산지" numFmtId="0">
      <sharedItems count="4">
        <s v="전남"/>
        <s v="제주"/>
        <s v="경남"/>
        <s v="전북"/>
      </sharedItems>
    </cacheField>
    <cacheField name="계약종류" numFmtId="0">
      <sharedItems count="2">
        <s v="계약재배"/>
        <s v="포전매매"/>
      </sharedItems>
    </cacheField>
    <cacheField name="계약일" numFmtId="0">
      <sharedItems containsSemiMixedTypes="0" containsNonDate="0" containsDate="1" containsString="0" minDate="2018-01-10T00:00:00" maxDate="2019-12-27T00:00:00" count="27">
        <d v="2019-08-18T00:00:00"/>
        <d v="2019-09-26T00:00:00"/>
        <d v="2018-12-02T00:00:00"/>
        <d v="2018-02-28T00:00:00"/>
        <d v="2019-12-08T00:00:00"/>
        <d v="2018-06-27T00:00:00"/>
        <d v="2018-05-03T00:00:00"/>
        <d v="2018-08-18T00:00:00"/>
        <d v="2018-03-13T00:00:00"/>
        <d v="2019-05-07T00:00:00"/>
        <d v="2018-08-06T00:00:00"/>
        <d v="2018-01-19T00:00:00"/>
        <d v="2019-05-08T00:00:00"/>
        <d v="2018-04-07T00:00:00"/>
        <d v="2018-01-13T00:00:00"/>
        <d v="2019-12-26T00:00:00"/>
        <d v="2018-01-20T00:00:00"/>
        <d v="2018-08-26T00:00:00"/>
        <d v="2019-02-12T00:00:00"/>
        <d v="2019-11-08T00:00:00"/>
        <d v="2018-03-24T00:00:00"/>
        <d v="2018-07-11T00:00:00"/>
        <d v="2018-07-02T00:00:00"/>
        <d v="2019-01-01T00:00:00"/>
        <d v="2018-01-10T00:00:00"/>
        <d v="2019-08-08T00:00:00"/>
        <d v="2019-07-18T00:00:00"/>
      </sharedItems>
    </cacheField>
    <cacheField name="재배면적" numFmtId="0">
      <sharedItems containsSemiMixedTypes="0" containsString="0" containsNumber="1" containsInteger="1" minValue="1801" maxValue="4480" count="28">
        <n v="3811"/>
        <n v="2403"/>
        <n v="2006"/>
        <n v="1892"/>
        <n v="1801"/>
        <n v="1915"/>
        <n v="2800"/>
        <n v="3701"/>
        <n v="4287"/>
        <n v="4480"/>
        <n v="4126"/>
        <n v="2350"/>
        <n v="4007"/>
        <n v="4204"/>
        <n v="2456"/>
        <n v="3541"/>
        <n v="2496"/>
        <n v="3749"/>
        <n v="3016"/>
        <n v="2864"/>
        <n v="3562"/>
        <n v="3141"/>
        <n v="3869"/>
        <n v="1870"/>
        <n v="3969"/>
        <n v="3000"/>
        <n v="2193"/>
        <n v="2051"/>
      </sharedItems>
    </cacheField>
    <cacheField name="재배시기" numFmtId="0">
      <sharedItems count="4">
        <s v="봄"/>
        <s v="가을"/>
        <s v="여름"/>
        <s v="월동"/>
      </sharedItems>
    </cacheField>
    <cacheField name="사용비료" numFmtId="0">
      <sharedItems count="3">
        <s v="복합"/>
        <s v="자급"/>
        <s v="유기질"/>
      </sharedItems>
    </cacheField>
    <cacheField name="거래수수료" numFmtId="0">
      <sharedItems containsSemiMixedTypes="0" containsString="0" containsNumber="1" containsInteger="1" minValue="66000" maxValue="120000" count="15">
        <n v="100000"/>
        <n v="90000"/>
        <n v="66000"/>
        <n v="120000"/>
        <n v="112000"/>
        <n v="92000"/>
        <n v="108000"/>
        <n v="70000"/>
        <n v="114000"/>
        <n v="106000"/>
        <n v="117000"/>
        <n v="81000"/>
        <n v="98000"/>
        <n v="116000"/>
        <n v="74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lk@naver.com" refreshedDate="44348.933389351849" createdVersion="4" refreshedVersion="6" minRefreshableVersion="3" recordCount="14" xr:uid="{FE0D2483-ED7C-40D2-BE01-5C3C67E559C3}">
  <cacheSource type="worksheet">
    <worksheetSource ref="J2:M16" sheet="10" r:id="rId2"/>
  </cacheSource>
  <cacheFields count="4">
    <cacheField name="성명" numFmtId="0">
      <sharedItems containsBlank="1" count="5">
        <s v="김숙희"/>
        <s v="이영자"/>
        <s v="구미성"/>
        <s v="최복선"/>
        <m/>
      </sharedItems>
    </cacheField>
    <cacheField name="1월" numFmtId="0">
      <sharedItems containsSemiMixedTypes="0" containsString="0" containsNumber="1" containsInteger="1" minValue="55" maxValue="99"/>
    </cacheField>
    <cacheField name="2월" numFmtId="0">
      <sharedItems containsSemiMixedTypes="0" containsString="0" containsNumber="1" containsInteger="1" minValue="55" maxValue="96"/>
    </cacheField>
    <cacheField name="3월" numFmtId="0">
      <sharedItems containsSemiMixedTypes="0" containsString="0" containsNumber="1" containsInteger="1" minValue="57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</r>
  <r>
    <x v="1"/>
    <x v="1"/>
    <x v="0"/>
    <x v="1"/>
    <x v="1"/>
    <x v="0"/>
    <x v="1"/>
    <x v="1"/>
  </r>
  <r>
    <x v="2"/>
    <x v="1"/>
    <x v="0"/>
    <x v="2"/>
    <x v="2"/>
    <x v="1"/>
    <x v="1"/>
    <x v="2"/>
  </r>
  <r>
    <x v="2"/>
    <x v="0"/>
    <x v="1"/>
    <x v="3"/>
    <x v="3"/>
    <x v="1"/>
    <x v="2"/>
    <x v="3"/>
  </r>
  <r>
    <x v="3"/>
    <x v="2"/>
    <x v="1"/>
    <x v="4"/>
    <x v="4"/>
    <x v="2"/>
    <x v="2"/>
    <x v="4"/>
  </r>
  <r>
    <x v="4"/>
    <x v="0"/>
    <x v="1"/>
    <x v="5"/>
    <x v="5"/>
    <x v="2"/>
    <x v="1"/>
    <x v="5"/>
  </r>
  <r>
    <x v="4"/>
    <x v="1"/>
    <x v="1"/>
    <x v="6"/>
    <x v="6"/>
    <x v="3"/>
    <x v="1"/>
    <x v="6"/>
  </r>
  <r>
    <x v="3"/>
    <x v="3"/>
    <x v="0"/>
    <x v="7"/>
    <x v="7"/>
    <x v="1"/>
    <x v="2"/>
    <x v="1"/>
  </r>
  <r>
    <x v="0"/>
    <x v="3"/>
    <x v="1"/>
    <x v="8"/>
    <x v="8"/>
    <x v="3"/>
    <x v="1"/>
    <x v="3"/>
  </r>
  <r>
    <x v="1"/>
    <x v="0"/>
    <x v="0"/>
    <x v="9"/>
    <x v="9"/>
    <x v="3"/>
    <x v="1"/>
    <x v="7"/>
  </r>
  <r>
    <x v="2"/>
    <x v="0"/>
    <x v="1"/>
    <x v="10"/>
    <x v="10"/>
    <x v="2"/>
    <x v="1"/>
    <x v="1"/>
  </r>
  <r>
    <x v="3"/>
    <x v="1"/>
    <x v="1"/>
    <x v="11"/>
    <x v="11"/>
    <x v="2"/>
    <x v="1"/>
    <x v="8"/>
  </r>
  <r>
    <x v="3"/>
    <x v="3"/>
    <x v="1"/>
    <x v="12"/>
    <x v="12"/>
    <x v="2"/>
    <x v="0"/>
    <x v="8"/>
  </r>
  <r>
    <x v="2"/>
    <x v="1"/>
    <x v="0"/>
    <x v="13"/>
    <x v="13"/>
    <x v="3"/>
    <x v="0"/>
    <x v="0"/>
  </r>
  <r>
    <x v="0"/>
    <x v="3"/>
    <x v="1"/>
    <x v="14"/>
    <x v="14"/>
    <x v="1"/>
    <x v="0"/>
    <x v="9"/>
  </r>
  <r>
    <x v="1"/>
    <x v="0"/>
    <x v="1"/>
    <x v="15"/>
    <x v="15"/>
    <x v="2"/>
    <x v="2"/>
    <x v="10"/>
  </r>
  <r>
    <x v="2"/>
    <x v="3"/>
    <x v="0"/>
    <x v="16"/>
    <x v="16"/>
    <x v="2"/>
    <x v="1"/>
    <x v="1"/>
  </r>
  <r>
    <x v="0"/>
    <x v="2"/>
    <x v="1"/>
    <x v="17"/>
    <x v="17"/>
    <x v="3"/>
    <x v="2"/>
    <x v="3"/>
  </r>
  <r>
    <x v="2"/>
    <x v="1"/>
    <x v="0"/>
    <x v="18"/>
    <x v="18"/>
    <x v="2"/>
    <x v="2"/>
    <x v="1"/>
  </r>
  <r>
    <x v="1"/>
    <x v="1"/>
    <x v="1"/>
    <x v="19"/>
    <x v="19"/>
    <x v="2"/>
    <x v="2"/>
    <x v="3"/>
  </r>
  <r>
    <x v="4"/>
    <x v="0"/>
    <x v="1"/>
    <x v="20"/>
    <x v="20"/>
    <x v="2"/>
    <x v="0"/>
    <x v="3"/>
  </r>
  <r>
    <x v="0"/>
    <x v="0"/>
    <x v="0"/>
    <x v="11"/>
    <x v="21"/>
    <x v="2"/>
    <x v="1"/>
    <x v="11"/>
  </r>
  <r>
    <x v="4"/>
    <x v="2"/>
    <x v="0"/>
    <x v="21"/>
    <x v="22"/>
    <x v="0"/>
    <x v="2"/>
    <x v="12"/>
  </r>
  <r>
    <x v="3"/>
    <x v="2"/>
    <x v="1"/>
    <x v="22"/>
    <x v="23"/>
    <x v="3"/>
    <x v="1"/>
    <x v="13"/>
  </r>
  <r>
    <x v="0"/>
    <x v="2"/>
    <x v="0"/>
    <x v="23"/>
    <x v="24"/>
    <x v="1"/>
    <x v="1"/>
    <x v="14"/>
  </r>
  <r>
    <x v="1"/>
    <x v="3"/>
    <x v="1"/>
    <x v="24"/>
    <x v="25"/>
    <x v="0"/>
    <x v="1"/>
    <x v="3"/>
  </r>
  <r>
    <x v="4"/>
    <x v="2"/>
    <x v="1"/>
    <x v="25"/>
    <x v="26"/>
    <x v="1"/>
    <x v="1"/>
    <x v="0"/>
  </r>
  <r>
    <x v="1"/>
    <x v="3"/>
    <x v="0"/>
    <x v="26"/>
    <x v="27"/>
    <x v="3"/>
    <x v="2"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n v="87"/>
    <n v="77"/>
    <n v="82"/>
  </r>
  <r>
    <x v="1"/>
    <n v="97"/>
    <n v="90"/>
    <n v="57"/>
  </r>
  <r>
    <x v="2"/>
    <n v="66"/>
    <n v="55"/>
    <n v="68"/>
  </r>
  <r>
    <x v="3"/>
    <n v="99"/>
    <n v="72"/>
    <n v="79"/>
  </r>
  <r>
    <x v="4"/>
    <n v="96"/>
    <n v="58"/>
    <n v="82"/>
  </r>
  <r>
    <x v="4"/>
    <n v="56"/>
    <n v="68"/>
    <n v="99"/>
  </r>
  <r>
    <x v="4"/>
    <n v="68"/>
    <n v="96"/>
    <n v="95"/>
  </r>
  <r>
    <x v="4"/>
    <n v="80"/>
    <n v="85"/>
    <n v="80"/>
  </r>
  <r>
    <x v="4"/>
    <n v="66"/>
    <n v="96"/>
    <n v="75"/>
  </r>
  <r>
    <x v="4"/>
    <n v="63"/>
    <n v="90"/>
    <n v="64"/>
  </r>
  <r>
    <x v="4"/>
    <n v="94"/>
    <n v="95"/>
    <n v="71"/>
  </r>
  <r>
    <x v="4"/>
    <n v="55"/>
    <n v="68"/>
    <n v="58"/>
  </r>
  <r>
    <x v="4"/>
    <n v="56"/>
    <n v="69"/>
    <n v="77"/>
  </r>
  <r>
    <x v="4"/>
    <n v="58"/>
    <n v="74"/>
    <n v="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51D9F-FBA4-4240-ADBC-21372B739B99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fieldListSortAscending="1">
  <location ref="B2:D19" firstHeaderRow="1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0BBE6-3883-4DF9-A62F-B4A739C51E88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fieldListSortAscending="1">
  <location ref="B3:E9" firstHeaderRow="1" firstDataRow="2" firstDataCol="1" rowPageCount="1" colPageCount="1"/>
  <pivotFields count="8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재배면적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10F29-306A-4548-A342-3C0F000BC30E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재배시기" colHeaderCaption="계약종류" fieldListSortAscending="1">
  <location ref="B3:E9" firstHeaderRow="1" firstDataRow="2" firstDataCol="1" rowPageCount="1" colPageCount="1"/>
  <pivotFields count="8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합계 : 재배면적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6D11CD-4F2F-423A-9FCE-239B08FBDA80}" name="피벗 테이블1" cacheId="25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rowHeaderCaption="재배시기" colHeaderCaption="계약종류" fieldListSortAscending="1">
  <location ref="B3:H10" firstHeaderRow="1" firstDataRow="3" firstDataCol="1" rowPageCount="1" colPageCount="1"/>
  <pivotFields count="8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compact="0" showAll="0"/>
    <pivotField dataField="1" compact="0" showAll="0"/>
    <pivotField axis="axisRow" compact="0" showAll="0">
      <items count="5">
        <item x="1"/>
        <item x="0"/>
        <item x="2"/>
        <item x="3"/>
        <item t="default"/>
      </items>
    </pivotField>
    <pivotField compact="0" showAll="0"/>
    <pivotField dataField="1" compact="0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합계 : 재배면적" fld="4" baseField="0" baseItem="0"/>
    <dataField name="합계 : 거래수수료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C4BED-50F8-4EFE-836F-B0320BF14414}" name="피벗 테이블1" cacheId="25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rowHeaderCaption="계약일" colHeaderCaption="계약종류" fieldListSortAscending="1">
  <location ref="B3:E32" firstHeaderRow="1" firstDataRow="2" firstDataCol="1" rowPageCount="1" colPageCount="1"/>
  <pivotFields count="8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axis="axisRow" compact="0" showAll="0">
      <items count="28">
        <item x="24"/>
        <item x="14"/>
        <item x="11"/>
        <item x="16"/>
        <item x="3"/>
        <item x="8"/>
        <item x="20"/>
        <item x="13"/>
        <item x="6"/>
        <item x="5"/>
        <item x="22"/>
        <item x="21"/>
        <item x="10"/>
        <item x="7"/>
        <item x="17"/>
        <item x="2"/>
        <item x="23"/>
        <item x="18"/>
        <item x="9"/>
        <item x="12"/>
        <item x="26"/>
        <item x="25"/>
        <item x="0"/>
        <item x="1"/>
        <item x="19"/>
        <item x="4"/>
        <item x="15"/>
        <item t="default"/>
      </items>
    </pivotField>
    <pivotField dataField="1" compact="0" showAll="0"/>
    <pivotField compact="0" showAll="0"/>
    <pivotField compact="0" showAll="0"/>
    <pivotField compact="0" showAll="0"/>
  </pivotFields>
  <rowFields count="1">
    <field x="3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5EB11-356E-4863-89B5-DEFAC59A2076}" name="피벗 테이블1" cacheId="25" applyNumberFormats="0" applyBorderFormats="0" applyFontFormats="0" applyPatternFormats="0" applyAlignmentFormats="0" applyWidthHeightFormats="1" dataCaption="값" updatedVersion="7" minRefreshableVersion="3" useAutoFormatting="1" itemPrintTitles="1" createdVersion="8" indent="0" compact="0" outline="1" outlineData="1" compactData="0" multipleFieldFilters="0" rowHeaderCaption="재배시기" colHeaderCaption="계약종류" fieldListSortAscending="1">
  <location ref="B3:E9" firstHeaderRow="1" firstDataRow="2" firstDataCol="1" rowPageCount="1" colPageCount="1"/>
  <pivotFields count="8">
    <pivotField compact="0" showAll="0"/>
    <pivotField axis="axisPage" compact="0" showAll="0">
      <items count="5">
        <item x="2"/>
        <item x="0"/>
        <item x="3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compact="0" showAll="0"/>
    <pivotField dataField="1" compact="0" showAll="0"/>
    <pivotField axis="axisRow" compact="0" showAll="0">
      <items count="5">
        <item x="1"/>
        <item x="0"/>
        <item x="2"/>
        <item x="3"/>
        <item t="default"/>
      </items>
    </pivotField>
    <pivotField compact="0" showAll="0"/>
    <pivotField compact="0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1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55D55-4FB8-49F8-A8D5-385761B18966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재배시기" colHeaderCaption="계약종류" fieldListSortAscending="1">
  <location ref="B3:E9" firstHeaderRow="1" firstDataRow="2" firstDataCol="1" rowPageCount="1" colPageCount="1"/>
  <pivotFields count="8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DA187-C5E8-4DE7-95BF-F08BE5E8D17B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재배시기" colHeaderCaption="계약종류" fieldListSortAscending="1">
  <location ref="B3:E9" firstHeaderRow="1" firstDataRow="2" firstDataCol="1" rowPageCount="1" colPageCount="1"/>
  <pivotFields count="8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41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5F9310-A6C4-40F0-85BA-998042092B70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재배시기" colHeaderCaption="계약종류" fieldListSortAscending="1">
  <location ref="B3:E9" firstHeaderRow="1" firstDataRow="2" firstDataCol="1" rowPageCount="1" colPageCount="1"/>
  <pivotFields count="8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41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01DDC5-7827-49B1-A335-0351F42379EC}" name="피벗 테이블1" cacheId="25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재배시기" colHeaderCaption="계약종류" fieldListSortAscending="1">
  <location ref="B3:E9" firstHeaderRow="1" firstDataRow="2" firstDataCol="1" rowPageCount="1" colPageCount="1"/>
  <pivotFields count="8">
    <pivotField showAll="0"/>
    <pivotField axis="axisPage" showAll="0">
      <items count="5">
        <item x="2"/>
        <item x="0"/>
        <item x="3"/>
        <item x="1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1" hier="-1"/>
  </pageFields>
  <dataFields count="1">
    <dataField name="평균 : 재배면적" fld="4" subtotal="average" baseField="5" baseItem="0" numFmtId="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FB191-2727-43D9-B78A-D42A68170CD8}" name="피벗 테이블6" cacheId="22" applyNumberFormats="0" applyBorderFormats="0" applyFontFormats="0" applyPatternFormats="0" applyAlignmentFormats="0" applyWidthHeightFormats="1" dataCaption="값" updatedVersion="7" minRefreshableVersion="3" useAutoFormatting="1" itemPrintTitles="1" createdVersion="4" indent="0" compact="0" outline="1" outlineData="1" compactData="0" multipleFieldFilters="0">
  <location ref="A2:D8" firstHeaderRow="0" firstDataRow="1" firstDataCol="1"/>
  <pivotFields count="4">
    <pivotField axis="axisRow" compact="0" showAll="0">
      <items count="6">
        <item x="2"/>
        <item x="0"/>
        <item x="1"/>
        <item x="3"/>
        <item x="4"/>
        <item t="default"/>
      </items>
    </pivotField>
    <pivotField dataField="1" compact="0" showAll="0"/>
    <pivotField dataField="1" compact="0" showAll="0"/>
    <pivotField dataField="1" compact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1월" fld="1" baseField="0" baseItem="0"/>
    <dataField name="합계 : 2월" fld="2" baseField="0" baseItem="0"/>
    <dataField name="합계 : 3월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AE90C-9923-486F-B454-4D2F2769FCB4}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C6856-9AD3-4CBE-BDAA-5F3CC5AC6EF0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71E19-0409-424E-8A11-E70A0E84C973}">
  <sheetPr codeName="Sheet3"/>
  <dimension ref="B2:D19"/>
  <sheetViews>
    <sheetView workbookViewId="0"/>
  </sheetViews>
  <sheetFormatPr defaultRowHeight="16.5" x14ac:dyDescent="0.3"/>
  <cols>
    <col min="1" max="1" width="1.75" customWidth="1"/>
    <col min="2" max="2" width="15.25" customWidth="1"/>
    <col min="3" max="3" width="15.25" bestFit="1" customWidth="1"/>
    <col min="4" max="4" width="9.25" bestFit="1" customWidth="1"/>
    <col min="5" max="5" width="7.375" customWidth="1"/>
    <col min="6" max="7" width="14.5" bestFit="1" customWidth="1"/>
    <col min="8" max="8" width="22.125" bestFit="1" customWidth="1"/>
  </cols>
  <sheetData>
    <row r="2" spans="2:4" x14ac:dyDescent="0.3">
      <c r="B2" s="1"/>
      <c r="C2" s="2"/>
      <c r="D2" s="3"/>
    </row>
    <row r="3" spans="2:4" x14ac:dyDescent="0.3">
      <c r="B3" s="4"/>
      <c r="C3" s="5"/>
      <c r="D3" s="6"/>
    </row>
    <row r="4" spans="2:4" x14ac:dyDescent="0.3">
      <c r="B4" s="4"/>
      <c r="C4" s="5"/>
      <c r="D4" s="6"/>
    </row>
    <row r="5" spans="2:4" x14ac:dyDescent="0.3">
      <c r="B5" s="4"/>
      <c r="C5" s="5"/>
      <c r="D5" s="6"/>
    </row>
    <row r="6" spans="2:4" x14ac:dyDescent="0.3">
      <c r="B6" s="4"/>
      <c r="C6" s="5"/>
      <c r="D6" s="6"/>
    </row>
    <row r="7" spans="2:4" x14ac:dyDescent="0.3">
      <c r="B7" s="4"/>
      <c r="C7" s="5"/>
      <c r="D7" s="6"/>
    </row>
    <row r="8" spans="2:4" x14ac:dyDescent="0.3">
      <c r="B8" s="4"/>
      <c r="C8" s="5"/>
      <c r="D8" s="6"/>
    </row>
    <row r="9" spans="2:4" x14ac:dyDescent="0.3">
      <c r="B9" s="4"/>
      <c r="C9" s="5"/>
      <c r="D9" s="6"/>
    </row>
    <row r="10" spans="2:4" x14ac:dyDescent="0.3">
      <c r="B10" s="4"/>
      <c r="C10" s="5"/>
      <c r="D10" s="6"/>
    </row>
    <row r="11" spans="2:4" x14ac:dyDescent="0.3">
      <c r="B11" s="4"/>
      <c r="C11" s="5"/>
      <c r="D11" s="6"/>
    </row>
    <row r="12" spans="2:4" x14ac:dyDescent="0.3">
      <c r="B12" s="4"/>
      <c r="C12" s="5"/>
      <c r="D12" s="6"/>
    </row>
    <row r="13" spans="2:4" x14ac:dyDescent="0.3">
      <c r="B13" s="4"/>
      <c r="C13" s="5"/>
      <c r="D13" s="6"/>
    </row>
    <row r="14" spans="2:4" x14ac:dyDescent="0.3">
      <c r="B14" s="4"/>
      <c r="C14" s="5"/>
      <c r="D14" s="6"/>
    </row>
    <row r="15" spans="2:4" x14ac:dyDescent="0.3">
      <c r="B15" s="4"/>
      <c r="C15" s="5"/>
      <c r="D15" s="6"/>
    </row>
    <row r="16" spans="2:4" x14ac:dyDescent="0.3">
      <c r="B16" s="4"/>
      <c r="C16" s="5"/>
      <c r="D16" s="6"/>
    </row>
    <row r="17" spans="2:4" x14ac:dyDescent="0.3">
      <c r="B17" s="4"/>
      <c r="C17" s="5"/>
      <c r="D17" s="6"/>
    </row>
    <row r="18" spans="2:4" x14ac:dyDescent="0.3">
      <c r="B18" s="4"/>
      <c r="C18" s="5"/>
      <c r="D18" s="6"/>
    </row>
    <row r="19" spans="2:4" x14ac:dyDescent="0.3">
      <c r="B19" s="7"/>
      <c r="C19" s="8"/>
      <c r="D19" s="9"/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3947-22FE-472D-9F7E-EF24FF67A051}">
  <sheetPr codeName="Sheet4"/>
  <dimension ref="B1:E9"/>
  <sheetViews>
    <sheetView workbookViewId="0">
      <selection activeCell="G26" sqref="G26"/>
    </sheetView>
  </sheetViews>
  <sheetFormatPr defaultRowHeight="16.5" x14ac:dyDescent="0.3"/>
  <cols>
    <col min="1" max="1" width="1.75" customWidth="1"/>
    <col min="2" max="2" width="14.5" bestFit="1" customWidth="1"/>
    <col min="3" max="3" width="11.375" bestFit="1" customWidth="1"/>
    <col min="4" max="4" width="8.625" bestFit="1" customWidth="1"/>
    <col min="5" max="5" width="6.875" bestFit="1" customWidth="1"/>
    <col min="6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2</v>
      </c>
      <c r="C3" s="10" t="s">
        <v>3</v>
      </c>
    </row>
    <row r="4" spans="2:5" x14ac:dyDescent="0.3">
      <c r="B4" s="10" t="s">
        <v>7</v>
      </c>
      <c r="C4" t="s">
        <v>4</v>
      </c>
      <c r="D4" t="s">
        <v>5</v>
      </c>
      <c r="E4" t="s">
        <v>6</v>
      </c>
    </row>
    <row r="5" spans="2:5" x14ac:dyDescent="0.3">
      <c r="B5" s="12" t="s">
        <v>8</v>
      </c>
      <c r="C5" s="11">
        <v>9676</v>
      </c>
      <c r="D5" s="11">
        <v>6541</v>
      </c>
      <c r="E5" s="11">
        <v>16217</v>
      </c>
    </row>
    <row r="6" spans="2:5" x14ac:dyDescent="0.3">
      <c r="B6" s="12" t="s">
        <v>9</v>
      </c>
      <c r="C6" s="11">
        <v>10083</v>
      </c>
      <c r="D6" s="11">
        <v>3000</v>
      </c>
      <c r="E6" s="11">
        <v>13083</v>
      </c>
    </row>
    <row r="7" spans="2:5" x14ac:dyDescent="0.3">
      <c r="B7" s="12" t="s">
        <v>10</v>
      </c>
      <c r="C7" s="11">
        <v>8653</v>
      </c>
      <c r="D7" s="11">
        <v>24166</v>
      </c>
      <c r="E7" s="11">
        <v>32819</v>
      </c>
    </row>
    <row r="8" spans="2:5" x14ac:dyDescent="0.3">
      <c r="B8" s="12" t="s">
        <v>11</v>
      </c>
      <c r="C8" s="11">
        <v>10735</v>
      </c>
      <c r="D8" s="11">
        <v>12706</v>
      </c>
      <c r="E8" s="11">
        <v>23441</v>
      </c>
    </row>
    <row r="9" spans="2:5" x14ac:dyDescent="0.3">
      <c r="B9" s="12" t="s">
        <v>6</v>
      </c>
      <c r="C9" s="11">
        <v>39147</v>
      </c>
      <c r="D9" s="11">
        <v>46413</v>
      </c>
      <c r="E9" s="11">
        <v>85560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57033-076C-4F59-8DE5-EB43F0A1F4F5}">
  <sheetPr codeName="Sheet5"/>
  <dimension ref="B1:E9"/>
  <sheetViews>
    <sheetView workbookViewId="0"/>
  </sheetViews>
  <sheetFormatPr defaultRowHeight="16.5" x14ac:dyDescent="0.3"/>
  <cols>
    <col min="1" max="1" width="1.75" customWidth="1"/>
    <col min="2" max="2" width="14.5" bestFit="1" customWidth="1"/>
    <col min="3" max="3" width="11.375" bestFit="1" customWidth="1"/>
    <col min="4" max="4" width="8.625" bestFit="1" customWidth="1"/>
    <col min="5" max="5" width="6.875" bestFit="1" customWidth="1"/>
    <col min="6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2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8</v>
      </c>
      <c r="C5" s="11">
        <v>9676</v>
      </c>
      <c r="D5" s="11">
        <v>6541</v>
      </c>
      <c r="E5" s="11">
        <v>16217</v>
      </c>
    </row>
    <row r="6" spans="2:5" x14ac:dyDescent="0.3">
      <c r="B6" s="12" t="s">
        <v>9</v>
      </c>
      <c r="C6" s="11">
        <v>10083</v>
      </c>
      <c r="D6" s="11">
        <v>3000</v>
      </c>
      <c r="E6" s="11">
        <v>13083</v>
      </c>
    </row>
    <row r="7" spans="2:5" x14ac:dyDescent="0.3">
      <c r="B7" s="12" t="s">
        <v>10</v>
      </c>
      <c r="C7" s="11">
        <v>8653</v>
      </c>
      <c r="D7" s="11">
        <v>24166</v>
      </c>
      <c r="E7" s="11">
        <v>32819</v>
      </c>
    </row>
    <row r="8" spans="2:5" x14ac:dyDescent="0.3">
      <c r="B8" s="12" t="s">
        <v>11</v>
      </c>
      <c r="C8" s="11">
        <v>10735</v>
      </c>
      <c r="D8" s="11">
        <v>12706</v>
      </c>
      <c r="E8" s="11">
        <v>23441</v>
      </c>
    </row>
    <row r="9" spans="2:5" x14ac:dyDescent="0.3">
      <c r="B9" s="12" t="s">
        <v>6</v>
      </c>
      <c r="C9" s="11">
        <v>39147</v>
      </c>
      <c r="D9" s="11">
        <v>46413</v>
      </c>
      <c r="E9" s="11">
        <v>85560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E798C-513A-4BF1-97A0-9F02C25E54A2}">
  <sheetPr codeName="Sheet6"/>
  <dimension ref="B1:H10"/>
  <sheetViews>
    <sheetView workbookViewId="0">
      <selection activeCell="D8" sqref="D8"/>
    </sheetView>
  </sheetViews>
  <sheetFormatPr defaultRowHeight="16.5" x14ac:dyDescent="0.3"/>
  <cols>
    <col min="1" max="1" width="1.75" customWidth="1"/>
    <col min="2" max="2" width="11.25" bestFit="1" customWidth="1"/>
    <col min="3" max="6" width="17.375" bestFit="1" customWidth="1"/>
    <col min="7" max="7" width="20.125" bestFit="1" customWidth="1"/>
    <col min="8" max="8" width="22.125" bestFit="1" customWidth="1"/>
  </cols>
  <sheetData>
    <row r="1" spans="2:8" x14ac:dyDescent="0.3">
      <c r="B1" s="10" t="s">
        <v>0</v>
      </c>
      <c r="C1" t="s">
        <v>1</v>
      </c>
    </row>
    <row r="3" spans="2:8" x14ac:dyDescent="0.3">
      <c r="C3" s="10" t="s">
        <v>16</v>
      </c>
      <c r="D3" s="10" t="s">
        <v>28</v>
      </c>
    </row>
    <row r="4" spans="2:8" x14ac:dyDescent="0.3">
      <c r="C4" t="s">
        <v>4</v>
      </c>
      <c r="E4" t="s">
        <v>5</v>
      </c>
      <c r="G4" t="s">
        <v>12</v>
      </c>
      <c r="H4" t="s">
        <v>13</v>
      </c>
    </row>
    <row r="5" spans="2:8" x14ac:dyDescent="0.3">
      <c r="B5" s="10" t="s">
        <v>18</v>
      </c>
      <c r="C5" t="s">
        <v>2</v>
      </c>
      <c r="D5" t="s">
        <v>14</v>
      </c>
      <c r="E5" t="s">
        <v>2</v>
      </c>
      <c r="F5" t="s">
        <v>14</v>
      </c>
    </row>
    <row r="6" spans="2:8" x14ac:dyDescent="0.3">
      <c r="B6" t="s">
        <v>8</v>
      </c>
      <c r="C6" s="11">
        <v>9676</v>
      </c>
      <c r="D6" s="11">
        <v>230000</v>
      </c>
      <c r="E6" s="11">
        <v>6541</v>
      </c>
      <c r="F6" s="11">
        <v>326000</v>
      </c>
      <c r="G6" s="11">
        <v>16217</v>
      </c>
      <c r="H6" s="11">
        <v>556000</v>
      </c>
    </row>
    <row r="7" spans="2:8" x14ac:dyDescent="0.3">
      <c r="B7" t="s">
        <v>9</v>
      </c>
      <c r="C7" s="11">
        <v>10083</v>
      </c>
      <c r="D7" s="11">
        <v>288000</v>
      </c>
      <c r="E7" s="11">
        <v>3000</v>
      </c>
      <c r="F7" s="11">
        <v>120000</v>
      </c>
      <c r="G7" s="11">
        <v>13083</v>
      </c>
      <c r="H7" s="11">
        <v>408000</v>
      </c>
    </row>
    <row r="8" spans="2:8" x14ac:dyDescent="0.3">
      <c r="B8" t="s">
        <v>10</v>
      </c>
      <c r="C8" s="11">
        <v>8653</v>
      </c>
      <c r="D8" s="11">
        <v>261000</v>
      </c>
      <c r="E8" s="11">
        <v>24166</v>
      </c>
      <c r="F8" s="11">
        <v>879000</v>
      </c>
      <c r="G8" s="11">
        <v>32819</v>
      </c>
      <c r="H8" s="11">
        <v>1140000</v>
      </c>
    </row>
    <row r="9" spans="2:8" x14ac:dyDescent="0.3">
      <c r="B9" t="s">
        <v>11</v>
      </c>
      <c r="C9" s="11">
        <v>10735</v>
      </c>
      <c r="D9" s="11">
        <v>268000</v>
      </c>
      <c r="E9" s="11">
        <v>12706</v>
      </c>
      <c r="F9" s="11">
        <v>464000</v>
      </c>
      <c r="G9" s="11">
        <v>23441</v>
      </c>
      <c r="H9" s="11">
        <v>732000</v>
      </c>
    </row>
    <row r="10" spans="2:8" x14ac:dyDescent="0.3">
      <c r="B10" t="s">
        <v>6</v>
      </c>
      <c r="C10" s="11">
        <v>39147</v>
      </c>
      <c r="D10" s="11">
        <v>1047000</v>
      </c>
      <c r="E10" s="11">
        <v>46413</v>
      </c>
      <c r="F10" s="11">
        <v>1789000</v>
      </c>
      <c r="G10" s="11">
        <v>85560</v>
      </c>
      <c r="H10" s="11">
        <v>2836000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E1C8-6FE7-4843-B1B3-857B42B254F6}">
  <sheetPr codeName="Sheet7"/>
  <dimension ref="B1:E32"/>
  <sheetViews>
    <sheetView workbookViewId="0"/>
  </sheetViews>
  <sheetFormatPr defaultRowHeight="16.5" x14ac:dyDescent="0.3"/>
  <cols>
    <col min="1" max="1" width="1.75" customWidth="1"/>
    <col min="2" max="2" width="15.25" bestFit="1" customWidth="1"/>
    <col min="3" max="4" width="12" bestFit="1" customWidth="1"/>
    <col min="5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17</v>
      </c>
      <c r="C4" t="s">
        <v>4</v>
      </c>
      <c r="D4" t="s">
        <v>5</v>
      </c>
      <c r="E4" t="s">
        <v>6</v>
      </c>
    </row>
    <row r="5" spans="2:5" x14ac:dyDescent="0.3">
      <c r="B5" s="15">
        <v>43110</v>
      </c>
      <c r="C5" s="11"/>
      <c r="D5" s="11">
        <v>3000</v>
      </c>
      <c r="E5" s="11">
        <v>3000</v>
      </c>
    </row>
    <row r="6" spans="2:5" x14ac:dyDescent="0.3">
      <c r="B6" s="15">
        <v>43113</v>
      </c>
      <c r="C6" s="11"/>
      <c r="D6" s="11">
        <v>2456</v>
      </c>
      <c r="E6" s="11">
        <v>2456</v>
      </c>
    </row>
    <row r="7" spans="2:5" x14ac:dyDescent="0.3">
      <c r="B7" s="15">
        <v>43119</v>
      </c>
      <c r="C7" s="11">
        <v>3141</v>
      </c>
      <c r="D7" s="11">
        <v>2350</v>
      </c>
      <c r="E7" s="11">
        <v>2745.5</v>
      </c>
    </row>
    <row r="8" spans="2:5" x14ac:dyDescent="0.3">
      <c r="B8" s="15">
        <v>43120</v>
      </c>
      <c r="C8" s="11">
        <v>2496</v>
      </c>
      <c r="D8" s="11"/>
      <c r="E8" s="11">
        <v>2496</v>
      </c>
    </row>
    <row r="9" spans="2:5" x14ac:dyDescent="0.3">
      <c r="B9" s="15">
        <v>43159</v>
      </c>
      <c r="C9" s="11"/>
      <c r="D9" s="11">
        <v>1892</v>
      </c>
      <c r="E9" s="11">
        <v>1892</v>
      </c>
    </row>
    <row r="10" spans="2:5" x14ac:dyDescent="0.3">
      <c r="B10" s="15">
        <v>43172</v>
      </c>
      <c r="C10" s="11"/>
      <c r="D10" s="11">
        <v>4287</v>
      </c>
      <c r="E10" s="11">
        <v>4287</v>
      </c>
    </row>
    <row r="11" spans="2:5" x14ac:dyDescent="0.3">
      <c r="B11" s="15">
        <v>43183</v>
      </c>
      <c r="C11" s="11"/>
      <c r="D11" s="11">
        <v>3562</v>
      </c>
      <c r="E11" s="11">
        <v>3562</v>
      </c>
    </row>
    <row r="12" spans="2:5" x14ac:dyDescent="0.3">
      <c r="B12" s="15">
        <v>43197</v>
      </c>
      <c r="C12" s="11">
        <v>4204</v>
      </c>
      <c r="D12" s="11"/>
      <c r="E12" s="11">
        <v>4204</v>
      </c>
    </row>
    <row r="13" spans="2:5" x14ac:dyDescent="0.3">
      <c r="B13" s="15">
        <v>43223</v>
      </c>
      <c r="C13" s="11"/>
      <c r="D13" s="11">
        <v>2800</v>
      </c>
      <c r="E13" s="11">
        <v>2800</v>
      </c>
    </row>
    <row r="14" spans="2:5" x14ac:dyDescent="0.3">
      <c r="B14" s="15">
        <v>43278</v>
      </c>
      <c r="C14" s="11"/>
      <c r="D14" s="11">
        <v>1915</v>
      </c>
      <c r="E14" s="11">
        <v>1915</v>
      </c>
    </row>
    <row r="15" spans="2:5" x14ac:dyDescent="0.3">
      <c r="B15" s="15">
        <v>43283</v>
      </c>
      <c r="C15" s="11"/>
      <c r="D15" s="11">
        <v>1870</v>
      </c>
      <c r="E15" s="11">
        <v>1870</v>
      </c>
    </row>
    <row r="16" spans="2:5" x14ac:dyDescent="0.3">
      <c r="B16" s="15">
        <v>43292</v>
      </c>
      <c r="C16" s="11">
        <v>3869</v>
      </c>
      <c r="D16" s="11"/>
      <c r="E16" s="11">
        <v>3869</v>
      </c>
    </row>
    <row r="17" spans="2:5" x14ac:dyDescent="0.3">
      <c r="B17" s="15">
        <v>43318</v>
      </c>
      <c r="C17" s="11"/>
      <c r="D17" s="11">
        <v>4126</v>
      </c>
      <c r="E17" s="11">
        <v>4126</v>
      </c>
    </row>
    <row r="18" spans="2:5" x14ac:dyDescent="0.3">
      <c r="B18" s="15">
        <v>43330</v>
      </c>
      <c r="C18" s="11">
        <v>3701</v>
      </c>
      <c r="D18" s="11"/>
      <c r="E18" s="11">
        <v>3701</v>
      </c>
    </row>
    <row r="19" spans="2:5" x14ac:dyDescent="0.3">
      <c r="B19" s="15">
        <v>43338</v>
      </c>
      <c r="C19" s="11"/>
      <c r="D19" s="11">
        <v>3749</v>
      </c>
      <c r="E19" s="11">
        <v>3749</v>
      </c>
    </row>
    <row r="20" spans="2:5" x14ac:dyDescent="0.3">
      <c r="B20" s="15">
        <v>43436</v>
      </c>
      <c r="C20" s="11">
        <v>2006</v>
      </c>
      <c r="D20" s="11"/>
      <c r="E20" s="11">
        <v>2006</v>
      </c>
    </row>
    <row r="21" spans="2:5" x14ac:dyDescent="0.3">
      <c r="B21" s="15">
        <v>43466</v>
      </c>
      <c r="C21" s="11">
        <v>3969</v>
      </c>
      <c r="D21" s="11"/>
      <c r="E21" s="11">
        <v>3969</v>
      </c>
    </row>
    <row r="22" spans="2:5" x14ac:dyDescent="0.3">
      <c r="B22" s="15">
        <v>43508</v>
      </c>
      <c r="C22" s="11">
        <v>3016</v>
      </c>
      <c r="D22" s="11"/>
      <c r="E22" s="11">
        <v>3016</v>
      </c>
    </row>
    <row r="23" spans="2:5" x14ac:dyDescent="0.3">
      <c r="B23" s="15">
        <v>43592</v>
      </c>
      <c r="C23" s="11">
        <v>4480</v>
      </c>
      <c r="D23" s="11"/>
      <c r="E23" s="11">
        <v>4480</v>
      </c>
    </row>
    <row r="24" spans="2:5" x14ac:dyDescent="0.3">
      <c r="B24" s="15">
        <v>43593</v>
      </c>
      <c r="C24" s="11"/>
      <c r="D24" s="11">
        <v>4007</v>
      </c>
      <c r="E24" s="11">
        <v>4007</v>
      </c>
    </row>
    <row r="25" spans="2:5" x14ac:dyDescent="0.3">
      <c r="B25" s="15">
        <v>43664</v>
      </c>
      <c r="C25" s="11">
        <v>2051</v>
      </c>
      <c r="D25" s="11"/>
      <c r="E25" s="11">
        <v>2051</v>
      </c>
    </row>
    <row r="26" spans="2:5" x14ac:dyDescent="0.3">
      <c r="B26" s="15">
        <v>43685</v>
      </c>
      <c r="C26" s="11"/>
      <c r="D26" s="11">
        <v>2193</v>
      </c>
      <c r="E26" s="11">
        <v>2193</v>
      </c>
    </row>
    <row r="27" spans="2:5" x14ac:dyDescent="0.3">
      <c r="B27" s="15">
        <v>43695</v>
      </c>
      <c r="C27" s="11">
        <v>3811</v>
      </c>
      <c r="D27" s="11"/>
      <c r="E27" s="11">
        <v>3811</v>
      </c>
    </row>
    <row r="28" spans="2:5" x14ac:dyDescent="0.3">
      <c r="B28" s="15">
        <v>43734</v>
      </c>
      <c r="C28" s="11">
        <v>2403</v>
      </c>
      <c r="D28" s="11"/>
      <c r="E28" s="11">
        <v>2403</v>
      </c>
    </row>
    <row r="29" spans="2:5" x14ac:dyDescent="0.3">
      <c r="B29" s="15">
        <v>43777</v>
      </c>
      <c r="C29" s="11"/>
      <c r="D29" s="11">
        <v>2864</v>
      </c>
      <c r="E29" s="11">
        <v>2864</v>
      </c>
    </row>
    <row r="30" spans="2:5" x14ac:dyDescent="0.3">
      <c r="B30" s="15">
        <v>43807</v>
      </c>
      <c r="C30" s="11"/>
      <c r="D30" s="11">
        <v>1801</v>
      </c>
      <c r="E30" s="11">
        <v>1801</v>
      </c>
    </row>
    <row r="31" spans="2:5" x14ac:dyDescent="0.3">
      <c r="B31" s="15">
        <v>43825</v>
      </c>
      <c r="C31" s="11"/>
      <c r="D31" s="11">
        <v>3541</v>
      </c>
      <c r="E31" s="11">
        <v>3541</v>
      </c>
    </row>
    <row r="32" spans="2:5" x14ac:dyDescent="0.3">
      <c r="B32" t="s">
        <v>6</v>
      </c>
      <c r="C32" s="11">
        <v>3262.25</v>
      </c>
      <c r="D32" s="11">
        <v>2900.8125</v>
      </c>
      <c r="E32" s="11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D622F-47EB-4B74-BAD5-AD3A636A4ADC}">
  <sheetPr codeName="Sheet8"/>
  <dimension ref="B1:E9"/>
  <sheetViews>
    <sheetView tabSelected="1" workbookViewId="0">
      <selection activeCell="C17" sqref="C17"/>
    </sheetView>
  </sheetViews>
  <sheetFormatPr defaultRowHeight="16.5" x14ac:dyDescent="0.3"/>
  <cols>
    <col min="1" max="1" width="1.75" customWidth="1"/>
    <col min="2" max="2" width="15.25" customWidth="1"/>
    <col min="3" max="4" width="11.25" customWidth="1"/>
    <col min="5" max="6" width="7.375" customWidth="1"/>
    <col min="7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t="s">
        <v>8</v>
      </c>
      <c r="C5" s="13">
        <v>3225.3333333333335</v>
      </c>
      <c r="D5" s="13">
        <v>2180.3333333333335</v>
      </c>
      <c r="E5" s="13">
        <v>2702.8333333333335</v>
      </c>
    </row>
    <row r="6" spans="2:5" x14ac:dyDescent="0.3">
      <c r="B6" t="s">
        <v>9</v>
      </c>
      <c r="C6" s="13">
        <v>3361</v>
      </c>
      <c r="D6" s="13">
        <v>3000</v>
      </c>
      <c r="E6" s="13">
        <v>3270.75</v>
      </c>
    </row>
    <row r="7" spans="2:5" x14ac:dyDescent="0.3">
      <c r="B7" t="s">
        <v>10</v>
      </c>
      <c r="C7" s="13">
        <v>2884.3333333333335</v>
      </c>
      <c r="D7" s="13">
        <v>3020.75</v>
      </c>
      <c r="E7" s="13">
        <v>2983.5454545454545</v>
      </c>
    </row>
    <row r="8" spans="2:5" x14ac:dyDescent="0.3">
      <c r="B8" t="s">
        <v>11</v>
      </c>
      <c r="C8" s="13">
        <v>3578.3333333333335</v>
      </c>
      <c r="D8" s="13">
        <v>3176.5</v>
      </c>
      <c r="E8" s="13">
        <v>3348.7142857142858</v>
      </c>
    </row>
    <row r="9" spans="2:5" x14ac:dyDescent="0.3">
      <c r="B9" t="s">
        <v>6</v>
      </c>
      <c r="C9" s="13">
        <v>3262.25</v>
      </c>
      <c r="D9" s="13">
        <v>2900.8125</v>
      </c>
      <c r="E9" s="13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5E2E6-D31D-4490-ABA3-30F54FE9945D}">
  <sheetPr codeName="Sheet9"/>
  <dimension ref="B1:E9"/>
  <sheetViews>
    <sheetView workbookViewId="0"/>
  </sheetViews>
  <sheetFormatPr defaultRowHeight="16.5" x14ac:dyDescent="0.3"/>
  <cols>
    <col min="1" max="1" width="1.75" customWidth="1"/>
    <col min="2" max="2" width="14.5" bestFit="1" customWidth="1"/>
    <col min="3" max="4" width="12.375" bestFit="1" customWidth="1"/>
    <col min="5" max="5" width="13.5" bestFit="1" customWidth="1"/>
    <col min="6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8</v>
      </c>
      <c r="C5" s="11">
        <v>3225.3333333333335</v>
      </c>
      <c r="D5" s="11">
        <v>2180.3333333333335</v>
      </c>
      <c r="E5" s="11">
        <v>2702.8333333333335</v>
      </c>
    </row>
    <row r="6" spans="2:5" x14ac:dyDescent="0.3">
      <c r="B6" s="12" t="s">
        <v>9</v>
      </c>
      <c r="C6" s="11">
        <v>3361</v>
      </c>
      <c r="D6" s="11">
        <v>3000</v>
      </c>
      <c r="E6" s="11">
        <v>3270.75</v>
      </c>
    </row>
    <row r="7" spans="2:5" x14ac:dyDescent="0.3">
      <c r="B7" s="12" t="s">
        <v>10</v>
      </c>
      <c r="C7" s="11">
        <v>2884.3333333333335</v>
      </c>
      <c r="D7" s="11">
        <v>3020.75</v>
      </c>
      <c r="E7" s="11">
        <v>2983.5454545454545</v>
      </c>
    </row>
    <row r="8" spans="2:5" x14ac:dyDescent="0.3">
      <c r="B8" s="12" t="s">
        <v>11</v>
      </c>
      <c r="C8" s="11">
        <v>3578.3333333333335</v>
      </c>
      <c r="D8" s="11">
        <v>3176.5</v>
      </c>
      <c r="E8" s="11">
        <v>3348.7142857142858</v>
      </c>
    </row>
    <row r="9" spans="2:5" x14ac:dyDescent="0.3">
      <c r="B9" s="12" t="s">
        <v>6</v>
      </c>
      <c r="C9" s="11">
        <v>3262.25</v>
      </c>
      <c r="D9" s="11">
        <v>2900.8125</v>
      </c>
      <c r="E9" s="11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73125-9792-4509-9893-B2B2FE09E3C7}">
  <sheetPr codeName="Sheet10"/>
  <dimension ref="B1:E9"/>
  <sheetViews>
    <sheetView workbookViewId="0">
      <selection activeCell="F14" sqref="F14"/>
    </sheetView>
  </sheetViews>
  <sheetFormatPr defaultRowHeight="16.5" x14ac:dyDescent="0.3"/>
  <cols>
    <col min="1" max="1" width="1.75" customWidth="1"/>
    <col min="2" max="2" width="15.25" customWidth="1"/>
    <col min="3" max="4" width="11.25" customWidth="1"/>
    <col min="5" max="6" width="7.375" customWidth="1"/>
    <col min="7" max="7" width="14.5" bestFit="1" customWidth="1"/>
    <col min="8" max="8" width="22.125" bestFit="1" customWidth="1"/>
  </cols>
  <sheetData>
    <row r="1" spans="2:5" x14ac:dyDescent="0.3">
      <c r="B1" t="s">
        <v>0</v>
      </c>
      <c r="C1" t="s">
        <v>1</v>
      </c>
    </row>
    <row r="3" spans="2:5" x14ac:dyDescent="0.3">
      <c r="B3" t="s">
        <v>15</v>
      </c>
      <c r="C3" t="s">
        <v>16</v>
      </c>
    </row>
    <row r="4" spans="2:5" x14ac:dyDescent="0.3">
      <c r="B4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8</v>
      </c>
      <c r="C5" s="14">
        <v>3225.3333333333335</v>
      </c>
      <c r="D5" s="14">
        <v>2180.3333333333335</v>
      </c>
      <c r="E5" s="14">
        <v>2702.8333333333335</v>
      </c>
    </row>
    <row r="6" spans="2:5" x14ac:dyDescent="0.3">
      <c r="B6" s="12" t="s">
        <v>9</v>
      </c>
      <c r="C6" s="14">
        <v>3361</v>
      </c>
      <c r="D6" s="14">
        <v>3000</v>
      </c>
      <c r="E6" s="14">
        <v>3270.75</v>
      </c>
    </row>
    <row r="7" spans="2:5" x14ac:dyDescent="0.3">
      <c r="B7" s="12" t="s">
        <v>10</v>
      </c>
      <c r="C7" s="14">
        <v>2884.3333333333335</v>
      </c>
      <c r="D7" s="14">
        <v>3020.75</v>
      </c>
      <c r="E7" s="14">
        <v>2983.5454545454545</v>
      </c>
    </row>
    <row r="8" spans="2:5" x14ac:dyDescent="0.3">
      <c r="B8" s="12" t="s">
        <v>11</v>
      </c>
      <c r="C8" s="14">
        <v>3578.3333333333335</v>
      </c>
      <c r="D8" s="14">
        <v>3176.5</v>
      </c>
      <c r="E8" s="14">
        <v>3348.7142857142858</v>
      </c>
    </row>
    <row r="9" spans="2:5" x14ac:dyDescent="0.3">
      <c r="B9" s="12" t="s">
        <v>6</v>
      </c>
      <c r="C9" s="14">
        <v>3262.25</v>
      </c>
      <c r="D9" s="14">
        <v>2900.8125</v>
      </c>
      <c r="E9" s="14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03213-FD6F-4516-8A78-AD5132743F09}">
  <sheetPr codeName="Sheet11"/>
  <dimension ref="B1:E9"/>
  <sheetViews>
    <sheetView workbookViewId="0">
      <selection activeCell="B6" sqref="B6:E6"/>
      <pivotSelection pane="bottomRight" showHeader="1" extendable="1" axis="axisRow" start="1" max="5" activeRow="5" activeCol="1" previousRow="5" previousCol="1" click="1" r:id="rId1">
        <pivotArea dataOnly="0" axis="axisRow" fieldPosition="0">
          <references count="1">
            <reference field="5" count="1">
              <x v="1"/>
            </reference>
          </references>
        </pivotArea>
      </pivotSelection>
    </sheetView>
  </sheetViews>
  <sheetFormatPr defaultRowHeight="16.5" x14ac:dyDescent="0.3"/>
  <cols>
    <col min="1" max="1" width="1.75" customWidth="1"/>
    <col min="2" max="2" width="15.25" customWidth="1"/>
    <col min="3" max="4" width="11.25" customWidth="1"/>
    <col min="5" max="5" width="7.375" customWidth="1"/>
    <col min="6" max="6" width="7.375" bestFit="1" customWidth="1"/>
    <col min="7" max="7" width="14.5" bestFit="1" customWidth="1"/>
    <col min="8" max="8" width="22.125" bestFit="1" customWidth="1"/>
  </cols>
  <sheetData>
    <row r="1" spans="2:5" x14ac:dyDescent="0.3">
      <c r="B1" t="s">
        <v>0</v>
      </c>
      <c r="C1" t="s">
        <v>1</v>
      </c>
    </row>
    <row r="3" spans="2:5" x14ac:dyDescent="0.3">
      <c r="B3" t="s">
        <v>15</v>
      </c>
      <c r="C3" t="s">
        <v>16</v>
      </c>
    </row>
    <row r="4" spans="2:5" x14ac:dyDescent="0.3">
      <c r="B4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8</v>
      </c>
      <c r="C5" s="14">
        <v>3225.3333333333335</v>
      </c>
      <c r="D5" s="14">
        <v>2180.3333333333335</v>
      </c>
      <c r="E5" s="14">
        <v>2702.8333333333335</v>
      </c>
    </row>
    <row r="6" spans="2:5" x14ac:dyDescent="0.3">
      <c r="B6" s="12" t="s">
        <v>9</v>
      </c>
      <c r="C6" s="14">
        <v>3361</v>
      </c>
      <c r="D6" s="14">
        <v>3000</v>
      </c>
      <c r="E6" s="14">
        <v>3270.75</v>
      </c>
    </row>
    <row r="7" spans="2:5" x14ac:dyDescent="0.3">
      <c r="B7" s="12" t="s">
        <v>10</v>
      </c>
      <c r="C7" s="14">
        <v>2884.3333333333335</v>
      </c>
      <c r="D7" s="14">
        <v>3020.75</v>
      </c>
      <c r="E7" s="14">
        <v>2983.5454545454545</v>
      </c>
    </row>
    <row r="8" spans="2:5" x14ac:dyDescent="0.3">
      <c r="B8" s="12" t="s">
        <v>11</v>
      </c>
      <c r="C8" s="14">
        <v>3578.3333333333335</v>
      </c>
      <c r="D8" s="14">
        <v>3176.5</v>
      </c>
      <c r="E8" s="14">
        <v>3348.7142857142858</v>
      </c>
    </row>
    <row r="9" spans="2:5" x14ac:dyDescent="0.3">
      <c r="B9" s="12" t="s">
        <v>6</v>
      </c>
      <c r="C9" s="14">
        <v>3262.25</v>
      </c>
      <c r="D9" s="14">
        <v>2900.8125</v>
      </c>
      <c r="E9" s="14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2A74-43F9-4978-AC56-6A3BF7A6684B}">
  <sheetPr codeName="Sheet12"/>
  <dimension ref="B1:E9"/>
  <sheetViews>
    <sheetView workbookViewId="0">
      <selection activeCell="K31" sqref="K31"/>
    </sheetView>
  </sheetViews>
  <sheetFormatPr defaultRowHeight="16.5" x14ac:dyDescent="0.3"/>
  <cols>
    <col min="1" max="1" width="1.75" customWidth="1"/>
    <col min="2" max="2" width="15.25" customWidth="1"/>
    <col min="3" max="4" width="11.25" customWidth="1"/>
    <col min="5" max="5" width="7.375" customWidth="1"/>
    <col min="6" max="6" width="7.375" bestFit="1" customWidth="1"/>
    <col min="7" max="7" width="14.5" bestFit="1" customWidth="1"/>
    <col min="8" max="8" width="22.125" bestFit="1" customWidth="1"/>
  </cols>
  <sheetData>
    <row r="1" spans="2:5" x14ac:dyDescent="0.3">
      <c r="B1" s="10" t="s">
        <v>0</v>
      </c>
      <c r="C1" t="s">
        <v>1</v>
      </c>
    </row>
    <row r="3" spans="2:5" x14ac:dyDescent="0.3">
      <c r="B3" s="10" t="s">
        <v>15</v>
      </c>
      <c r="C3" s="10" t="s">
        <v>16</v>
      </c>
    </row>
    <row r="4" spans="2:5" x14ac:dyDescent="0.3">
      <c r="B4" s="10" t="s">
        <v>18</v>
      </c>
      <c r="C4" t="s">
        <v>4</v>
      </c>
      <c r="D4" t="s">
        <v>5</v>
      </c>
      <c r="E4" t="s">
        <v>6</v>
      </c>
    </row>
    <row r="5" spans="2:5" x14ac:dyDescent="0.3">
      <c r="B5" s="12" t="s">
        <v>9</v>
      </c>
      <c r="C5" s="13">
        <v>3361</v>
      </c>
      <c r="D5" s="13">
        <v>3000</v>
      </c>
      <c r="E5" s="13">
        <v>3270.75</v>
      </c>
    </row>
    <row r="6" spans="2:5" x14ac:dyDescent="0.3">
      <c r="B6" s="12" t="s">
        <v>10</v>
      </c>
      <c r="C6" s="13">
        <v>2884.3333333333335</v>
      </c>
      <c r="D6" s="13">
        <v>3020.75</v>
      </c>
      <c r="E6" s="13">
        <v>2983.5454545454545</v>
      </c>
    </row>
    <row r="7" spans="2:5" x14ac:dyDescent="0.3">
      <c r="B7" s="12" t="s">
        <v>8</v>
      </c>
      <c r="C7" s="13">
        <v>3225.3333333333335</v>
      </c>
      <c r="D7" s="13">
        <v>2180.3333333333335</v>
      </c>
      <c r="E7" s="13">
        <v>2702.8333333333335</v>
      </c>
    </row>
    <row r="8" spans="2:5" x14ac:dyDescent="0.3">
      <c r="B8" s="12" t="s">
        <v>11</v>
      </c>
      <c r="C8" s="13">
        <v>3578.3333333333335</v>
      </c>
      <c r="D8" s="13">
        <v>3176.5</v>
      </c>
      <c r="E8" s="13">
        <v>3348.7142857142858</v>
      </c>
    </row>
    <row r="9" spans="2:5" x14ac:dyDescent="0.3">
      <c r="B9" s="12" t="s">
        <v>6</v>
      </c>
      <c r="C9" s="13">
        <v>3262.25</v>
      </c>
      <c r="D9" s="13">
        <v>2900.8125</v>
      </c>
      <c r="E9" s="13">
        <v>3055.7142857142858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08F4-A297-4A0A-98B8-BF5AB8DEED13}">
  <sheetPr codeName="Sheet13"/>
  <dimension ref="A2:D8"/>
  <sheetViews>
    <sheetView workbookViewId="0">
      <selection activeCell="B4" sqref="B4"/>
    </sheetView>
  </sheetViews>
  <sheetFormatPr defaultRowHeight="16.5" x14ac:dyDescent="0.3"/>
  <cols>
    <col min="1" max="1" width="11" customWidth="1"/>
    <col min="2" max="4" width="10.25" bestFit="1" customWidth="1"/>
    <col min="5" max="5" width="15.25" customWidth="1"/>
  </cols>
  <sheetData>
    <row r="2" spans="1:4" x14ac:dyDescent="0.3">
      <c r="A2" s="10" t="s">
        <v>19</v>
      </c>
      <c r="B2" t="s">
        <v>20</v>
      </c>
      <c r="C2" t="s">
        <v>21</v>
      </c>
      <c r="D2" t="s">
        <v>22</v>
      </c>
    </row>
    <row r="3" spans="1:4" x14ac:dyDescent="0.3">
      <c r="A3" t="s">
        <v>23</v>
      </c>
      <c r="B3" s="11">
        <v>66</v>
      </c>
      <c r="C3" s="11">
        <v>55</v>
      </c>
      <c r="D3" s="11">
        <v>68</v>
      </c>
    </row>
    <row r="4" spans="1:4" x14ac:dyDescent="0.3">
      <c r="A4" t="s">
        <v>24</v>
      </c>
      <c r="B4" s="11">
        <v>87</v>
      </c>
      <c r="C4" s="11">
        <v>77</v>
      </c>
      <c r="D4" s="11">
        <v>82</v>
      </c>
    </row>
    <row r="5" spans="1:4" x14ac:dyDescent="0.3">
      <c r="A5" t="s">
        <v>25</v>
      </c>
      <c r="B5" s="11">
        <v>97</v>
      </c>
      <c r="C5" s="11">
        <v>90</v>
      </c>
      <c r="D5" s="11">
        <v>57</v>
      </c>
    </row>
    <row r="6" spans="1:4" x14ac:dyDescent="0.3">
      <c r="A6" t="s">
        <v>26</v>
      </c>
      <c r="B6" s="11">
        <v>99</v>
      </c>
      <c r="C6" s="11">
        <v>72</v>
      </c>
      <c r="D6" s="11">
        <v>79</v>
      </c>
    </row>
    <row r="7" spans="1:4" x14ac:dyDescent="0.3">
      <c r="A7" t="s">
        <v>27</v>
      </c>
      <c r="B7" s="11">
        <v>692</v>
      </c>
      <c r="C7" s="11">
        <v>799</v>
      </c>
      <c r="D7" s="11">
        <v>759</v>
      </c>
    </row>
    <row r="8" spans="1:4" x14ac:dyDescent="0.3">
      <c r="A8" t="s">
        <v>6</v>
      </c>
      <c r="B8" s="11">
        <v>1041</v>
      </c>
      <c r="C8" s="11">
        <v>1093</v>
      </c>
      <c r="D8" s="11">
        <v>1045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9D3-6FE6-4FF4-8BC0-A990B6F13DCE}">
  <sheetPr codeName="Sheet14">
    <tabColor theme="5" tint="0.59999389629810485"/>
  </sheetPr>
  <dimension ref="A1"/>
  <sheetViews>
    <sheetView workbookViewId="0">
      <selection activeCell="K42" sqref="K42"/>
    </sheetView>
  </sheetViews>
  <sheetFormatPr defaultRowHeight="16.5" x14ac:dyDescent="0.3"/>
  <cols>
    <col min="1" max="1" width="2.875" customWidth="1"/>
  </cols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12172-B10A-4413-9156-7464819FFE8F}">
  <sheetPr codeName="Sheet15">
    <tabColor theme="5" tint="0.59999389629810485"/>
  </sheetPr>
  <dimension ref="A1"/>
  <sheetViews>
    <sheetView workbookViewId="0">
      <selection activeCell="K42" sqref="K4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5476E-682A-4217-B8D3-FB0D1FBE103C}">
  <sheetPr codeName="Sheet16">
    <tabColor theme="5" tint="0.59999389629810485"/>
  </sheetPr>
  <dimension ref="A1"/>
  <sheetViews>
    <sheetView workbookViewId="0">
      <selection activeCell="K42" sqref="K4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47666-899A-4DE5-ADA5-B81121ECA554}">
  <sheetPr codeName="Sheet17">
    <tabColor theme="5" tint="0.59999389629810485"/>
  </sheetPr>
  <dimension ref="A1"/>
  <sheetViews>
    <sheetView workbookViewId="0">
      <selection activeCell="K42" sqref="K4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2ADAA-64E2-47EA-8109-6D483F5315BD}">
  <sheetPr codeName="Sheet18">
    <tabColor theme="5" tint="0.59999389629810485"/>
  </sheetPr>
  <dimension ref="A1"/>
  <sheetViews>
    <sheetView workbookViewId="0">
      <selection activeCell="K42" sqref="K42"/>
    </sheetView>
  </sheetViews>
  <sheetFormatPr defaultRowHeight="16.5" x14ac:dyDescent="0.3"/>
  <cols>
    <col min="1" max="1" width="2.375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합격포인트_01-유형1</vt:lpstr>
      <vt:lpstr>01-유형2</vt:lpstr>
      <vt:lpstr>02</vt:lpstr>
      <vt:lpstr>03</vt:lpstr>
      <vt:lpstr>04</vt:lpstr>
      <vt:lpstr>05</vt:lpstr>
      <vt:lpstr>06-유형1</vt:lpstr>
      <vt:lpstr>06-유형2</vt:lpstr>
      <vt:lpstr>07</vt:lpstr>
      <vt:lpstr>08-유형1</vt:lpstr>
      <vt:lpstr>08-유형2</vt:lpstr>
      <vt:lpstr>09</vt:lpstr>
      <vt:lpstr>10</vt:lpstr>
      <vt:lpstr>대표기출문제_기출1</vt:lpstr>
      <vt:lpstr>기출2</vt:lpstr>
      <vt:lpstr>기출3</vt:lpstr>
      <vt:lpstr>기출4</vt:lpstr>
      <vt:lpstr>기출5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2023-07-14T08:11:50Z</dcterms:created>
  <dcterms:modified xsi:type="dcterms:W3CDTF">2023-11-20T08:43:39Z</dcterms:modified>
</cp:coreProperties>
</file>