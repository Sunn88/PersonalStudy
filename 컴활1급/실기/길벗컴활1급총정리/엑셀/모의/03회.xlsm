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모의\"/>
    </mc:Choice>
  </mc:AlternateContent>
  <xr:revisionPtr revIDLastSave="0" documentId="13_ncr:1_{00191C0D-3AFE-4DD1-89DF-74554C4E3527}" xr6:coauthVersionLast="47" xr6:coauthVersionMax="47" xr10:uidLastSave="{00000000-0000-0000-0000-000000000000}"/>
  <bookViews>
    <workbookView xWindow="2745" yWindow="3150" windowWidth="16860" windowHeight="13095" xr2:uid="{996A17FC-0A87-4199-9912-680845FDCF65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definedNames>
    <definedName name="_xlnm.Print_Area" localSheetId="1">'기본작업-2'!$A$2:$N$27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9" i="4"/>
  <c r="E10" i="4"/>
  <c r="E11" i="4"/>
</calcChain>
</file>

<file path=xl/sharedStrings.xml><?xml version="1.0" encoding="utf-8"?>
<sst xmlns="http://schemas.openxmlformats.org/spreadsheetml/2006/main" count="645" uniqueCount="192">
  <si>
    <t>[표1]</t>
  </si>
  <si>
    <t>농작물</t>
  </si>
  <si>
    <t>생산지</t>
  </si>
  <si>
    <t>계약종류</t>
  </si>
  <si>
    <t>전체거래액</t>
  </si>
  <si>
    <t>재배면적(㎡)</t>
  </si>
  <si>
    <t>재배시기</t>
  </si>
  <si>
    <t>등급</t>
  </si>
  <si>
    <t>거래수수료</t>
  </si>
  <si>
    <t>고추</t>
  </si>
  <si>
    <t>전남</t>
  </si>
  <si>
    <t>계약재배</t>
  </si>
  <si>
    <t>봄</t>
  </si>
  <si>
    <t>C</t>
  </si>
  <si>
    <t>참깨</t>
  </si>
  <si>
    <t>제주</t>
  </si>
  <si>
    <t>B</t>
  </si>
  <si>
    <t>양파</t>
  </si>
  <si>
    <t>가을</t>
  </si>
  <si>
    <t>A</t>
  </si>
  <si>
    <t>포전매매</t>
  </si>
  <si>
    <t>마늘</t>
  </si>
  <si>
    <t>경남</t>
  </si>
  <si>
    <t>여름</t>
  </si>
  <si>
    <t>감자</t>
  </si>
  <si>
    <t>월동</t>
  </si>
  <si>
    <t>전북</t>
  </si>
  <si>
    <t>주문번호</t>
  </si>
  <si>
    <t>주문날짜</t>
  </si>
  <si>
    <t>모델명</t>
  </si>
  <si>
    <t>제품명</t>
  </si>
  <si>
    <t>분류코드</t>
  </si>
  <si>
    <t>단가</t>
  </si>
  <si>
    <t>수량</t>
  </si>
  <si>
    <t>매출액</t>
  </si>
  <si>
    <t>적립율</t>
  </si>
  <si>
    <t>적립금</t>
  </si>
  <si>
    <t>결제방법</t>
  </si>
  <si>
    <t>할부기간</t>
  </si>
  <si>
    <t>카드수수료</t>
  </si>
  <si>
    <t>설치비</t>
  </si>
  <si>
    <t>LA-15</t>
  </si>
  <si>
    <t>식기세척기</t>
  </si>
  <si>
    <t>생활가전</t>
  </si>
  <si>
    <t>CD카드</t>
  </si>
  <si>
    <t>LA-12</t>
  </si>
  <si>
    <t>냉장고</t>
  </si>
  <si>
    <t>한국카드</t>
  </si>
  <si>
    <t>CA-14</t>
  </si>
  <si>
    <t>튀김기</t>
  </si>
  <si>
    <t>주방가전</t>
  </si>
  <si>
    <t>CA-05</t>
  </si>
  <si>
    <t>전기밥솥</t>
  </si>
  <si>
    <t>LA-11</t>
  </si>
  <si>
    <t>LA-02</t>
  </si>
  <si>
    <t>가스오픈</t>
  </si>
  <si>
    <t>현금</t>
  </si>
  <si>
    <t>CA-21</t>
  </si>
  <si>
    <t>커피메이커</t>
  </si>
  <si>
    <t>LA-13</t>
  </si>
  <si>
    <t>세탁기</t>
  </si>
  <si>
    <t>SA-07</t>
  </si>
  <si>
    <t>전동치솔</t>
  </si>
  <si>
    <t>소형가전</t>
  </si>
  <si>
    <t>LA-10</t>
  </si>
  <si>
    <t>SA-06</t>
  </si>
  <si>
    <t>CA-04</t>
  </si>
  <si>
    <t>녹즙기</t>
  </si>
  <si>
    <t>CA-03</t>
  </si>
  <si>
    <t>CA-22</t>
  </si>
  <si>
    <t>SA-04</t>
  </si>
  <si>
    <t>면도기</t>
  </si>
  <si>
    <t>CA-16</t>
  </si>
  <si>
    <t>압력밥솥</t>
  </si>
  <si>
    <t>연휴카드</t>
  </si>
  <si>
    <t>CA-08</t>
  </si>
  <si>
    <t>쥬서기</t>
  </si>
  <si>
    <t>LA-16</t>
  </si>
  <si>
    <t>LA-09</t>
  </si>
  <si>
    <t>김치냉장고</t>
  </si>
  <si>
    <t>CA-07</t>
  </si>
  <si>
    <t>CA-25</t>
  </si>
  <si>
    <t>LA-08</t>
  </si>
  <si>
    <t>LA-14</t>
  </si>
  <si>
    <t>CA-02</t>
  </si>
  <si>
    <t>SA-01</t>
  </si>
  <si>
    <t>다리미</t>
  </si>
  <si>
    <t>CA-18</t>
  </si>
  <si>
    <t>CA-11</t>
  </si>
  <si>
    <t>SA-03</t>
  </si>
  <si>
    <t>CA-06</t>
  </si>
  <si>
    <t>CA-12</t>
  </si>
  <si>
    <t>LA-01</t>
  </si>
  <si>
    <t>SA-05</t>
  </si>
  <si>
    <t>LA-17</t>
  </si>
  <si>
    <t>LA-06</t>
  </si>
  <si>
    <t>CA-13</t>
  </si>
  <si>
    <t>CA-23</t>
  </si>
  <si>
    <t>CA-15</t>
  </si>
  <si>
    <t>CA-20</t>
  </si>
  <si>
    <t>CA-24</t>
  </si>
  <si>
    <t>CA-19</t>
  </si>
  <si>
    <t>SA-02</t>
  </si>
  <si>
    <t>CA-10</t>
  </si>
  <si>
    <t>CA-17</t>
  </si>
  <si>
    <t>LA-07</t>
  </si>
  <si>
    <t>LA-05</t>
  </si>
  <si>
    <t>CA-01</t>
  </si>
  <si>
    <t>LA-03</t>
  </si>
  <si>
    <t>가습기</t>
  </si>
  <si>
    <t>LA-04</t>
  </si>
  <si>
    <t>CA-09</t>
  </si>
  <si>
    <t>복합</t>
  </si>
  <si>
    <t>자급</t>
  </si>
  <si>
    <t>유기질</t>
  </si>
  <si>
    <t>사용비료</t>
  </si>
  <si>
    <t>규모</t>
  </si>
  <si>
    <t>[표2]</t>
  </si>
  <si>
    <t>단위 : 백만원</t>
  </si>
  <si>
    <t>[표3]</t>
  </si>
  <si>
    <t>[표4]</t>
  </si>
  <si>
    <t>재배면적</t>
  </si>
  <si>
    <t>거래건수</t>
  </si>
  <si>
    <t>[표5] 계약종류별 거래수수료율</t>
  </si>
  <si>
    <t>수수료율</t>
  </si>
  <si>
    <t>최고수수료</t>
  </si>
  <si>
    <t>판매일</t>
  </si>
  <si>
    <t>판매형태</t>
  </si>
  <si>
    <t>납품수량</t>
  </si>
  <si>
    <t>반품수량</t>
  </si>
  <si>
    <t>완제품</t>
  </si>
  <si>
    <t>부품</t>
  </si>
  <si>
    <t>반품수량</t>
    <phoneticPr fontId="1" type="noConversion"/>
  </si>
  <si>
    <t>단가표</t>
  </si>
  <si>
    <t>[표1] 2사분기 매출현황</t>
  </si>
  <si>
    <t>2월</t>
  </si>
  <si>
    <t>3월</t>
  </si>
  <si>
    <t>4월</t>
  </si>
  <si>
    <t>5월</t>
  </si>
  <si>
    <t>6월</t>
  </si>
  <si>
    <t>해외이주신고자</t>
  </si>
  <si>
    <t>월</t>
  </si>
  <si>
    <t>2020년</t>
  </si>
  <si>
    <t>2021년</t>
  </si>
  <si>
    <t>1월</t>
  </si>
  <si>
    <t>코스피 주요시세정보</t>
  </si>
  <si>
    <t>종목명</t>
  </si>
  <si>
    <t>종가</t>
  </si>
  <si>
    <t>전일비</t>
  </si>
  <si>
    <t>등락률(%)</t>
  </si>
  <si>
    <t>시가총액(억원)</t>
  </si>
  <si>
    <t>남원물산</t>
  </si>
  <si>
    <t>1,250(↑)</t>
  </si>
  <si>
    <t>한국산업</t>
  </si>
  <si>
    <t>990(↑)</t>
  </si>
  <si>
    <t>종일제강</t>
  </si>
  <si>
    <t>1,120(↓)</t>
  </si>
  <si>
    <t>성대상사</t>
  </si>
  <si>
    <t>13,850(↑)</t>
  </si>
  <si>
    <t>유명반도체</t>
  </si>
  <si>
    <t>9,800(↓)</t>
  </si>
  <si>
    <t>우리제약</t>
  </si>
  <si>
    <t>24,800(↓)</t>
  </si>
  <si>
    <t>진흥화학</t>
  </si>
  <si>
    <t>7,850(↓)</t>
  </si>
  <si>
    <t>한국제지</t>
  </si>
  <si>
    <t>8,250(↑)</t>
  </si>
  <si>
    <t>신한양조</t>
  </si>
  <si>
    <t>1,820(↑)</t>
  </si>
  <si>
    <t>서울전자</t>
  </si>
  <si>
    <t>일성증권</t>
  </si>
  <si>
    <t>3,520(↓)</t>
  </si>
  <si>
    <t>두성전자</t>
  </si>
  <si>
    <t>34,000(↓)</t>
  </si>
  <si>
    <t>최마로</t>
  </si>
  <si>
    <t>7세</t>
  </si>
  <si>
    <t>반일B</t>
  </si>
  <si>
    <t>햇님반</t>
  </si>
  <si>
    <t>최종국</t>
  </si>
  <si>
    <t>[표1] 원아현황</t>
  </si>
  <si>
    <t>원아</t>
  </si>
  <si>
    <t>나이</t>
  </si>
  <si>
    <t>등록일</t>
  </si>
  <si>
    <t>구분</t>
  </si>
  <si>
    <t>반이름</t>
  </si>
  <si>
    <t>학부모</t>
  </si>
  <si>
    <t>반일A</t>
  </si>
  <si>
    <t>꿈사랑반</t>
  </si>
  <si>
    <t>종일A</t>
  </si>
  <si>
    <t>민들레반</t>
  </si>
  <si>
    <t>종일B</t>
  </si>
  <si>
    <t>산새소리반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</si>
</sst>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&quot;~&quot;"/>
    <numFmt numFmtId="177" formatCode="0.0%"/>
    <numFmt numFmtId="178" formatCode="mm&quot;월&quot;\ dd&quot;일&quot;"/>
    <numFmt numFmtId="179" formatCode="#,##0_ 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2"/>
      <color rgb="FF000000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color theme="4" tint="-0.249977111117893"/>
      <name val="맑은 고딕"/>
      <family val="2"/>
      <charset val="129"/>
      <scheme val="minor"/>
    </font>
    <font>
      <sz val="11"/>
      <color theme="4" tint="-0.249977111117893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/>
      <right/>
      <top/>
      <bottom style="thin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4" fillId="0" borderId="0"/>
  </cellStyleXfs>
  <cellXfs count="57">
    <xf numFmtId="0" fontId="0" fillId="0" borderId="0" xfId="0">
      <alignment vertical="center"/>
    </xf>
    <xf numFmtId="0" fontId="5" fillId="3" borderId="1" xfId="5" applyFont="1" applyFill="1" applyBorder="1" applyAlignment="1">
      <alignment horizontal="center" vertical="center"/>
    </xf>
    <xf numFmtId="0" fontId="5" fillId="0" borderId="1" xfId="5" applyFont="1" applyBorder="1" applyAlignment="1">
      <alignment horizontal="center" vertical="center" wrapText="1"/>
    </xf>
    <xf numFmtId="41" fontId="5" fillId="0" borderId="1" xfId="1" applyFont="1" applyFill="1" applyBorder="1" applyAlignment="1">
      <alignment vertical="center" wrapText="1"/>
    </xf>
    <xf numFmtId="41" fontId="5" fillId="0" borderId="1" xfId="1" applyFont="1" applyFill="1" applyBorder="1" applyAlignment="1">
      <alignment horizontal="center" vertical="center" wrapText="1"/>
    </xf>
    <xf numFmtId="0" fontId="6" fillId="0" borderId="2" xfId="0" applyFont="1" applyBorder="1" applyAlignment="1"/>
    <xf numFmtId="0" fontId="7" fillId="4" borderId="2" xfId="0" applyFont="1" applyFill="1" applyBorder="1" applyAlignment="1"/>
    <xf numFmtId="14" fontId="7" fillId="4" borderId="2" xfId="0" applyNumberFormat="1" applyFont="1" applyFill="1" applyBorder="1">
      <alignment vertical="center"/>
    </xf>
    <xf numFmtId="42" fontId="7" fillId="4" borderId="2" xfId="2" applyFont="1" applyFill="1" applyBorder="1" applyAlignment="1"/>
    <xf numFmtId="9" fontId="7" fillId="4" borderId="2" xfId="3" applyFont="1" applyFill="1" applyBorder="1" applyAlignment="1"/>
    <xf numFmtId="0" fontId="7" fillId="0" borderId="0" xfId="0" applyFont="1" applyAlignment="1"/>
    <xf numFmtId="14" fontId="7" fillId="0" borderId="0" xfId="0" applyNumberFormat="1" applyFont="1">
      <alignment vertical="center"/>
    </xf>
    <xf numFmtId="42" fontId="7" fillId="0" borderId="0" xfId="2" applyFont="1" applyAlignment="1"/>
    <xf numFmtId="9" fontId="7" fillId="0" borderId="0" xfId="3" applyFont="1" applyAlignment="1"/>
    <xf numFmtId="0" fontId="7" fillId="4" borderId="0" xfId="0" applyFont="1" applyFill="1" applyAlignment="1"/>
    <xf numFmtId="14" fontId="7" fillId="4" borderId="0" xfId="0" applyNumberFormat="1" applyFont="1" applyFill="1">
      <alignment vertical="center"/>
    </xf>
    <xf numFmtId="42" fontId="7" fillId="4" borderId="0" xfId="2" applyFont="1" applyFill="1" applyAlignment="1"/>
    <xf numFmtId="9" fontId="7" fillId="4" borderId="0" xfId="3" applyFont="1" applyFill="1" applyAlignment="1"/>
    <xf numFmtId="0" fontId="7" fillId="4" borderId="3" xfId="0" applyFont="1" applyFill="1" applyBorder="1" applyAlignment="1"/>
    <xf numFmtId="14" fontId="7" fillId="4" borderId="3" xfId="0" applyNumberFormat="1" applyFont="1" applyFill="1" applyBorder="1">
      <alignment vertical="center"/>
    </xf>
    <xf numFmtId="42" fontId="7" fillId="4" borderId="3" xfId="2" applyFont="1" applyFill="1" applyBorder="1" applyAlignment="1"/>
    <xf numFmtId="9" fontId="7" fillId="4" borderId="3" xfId="3" applyFont="1" applyFill="1" applyBorder="1" applyAlignme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4" xfId="0" applyBorder="1">
      <alignment vertical="center"/>
    </xf>
    <xf numFmtId="176" fontId="0" fillId="0" borderId="5" xfId="1" applyNumberFormat="1" applyFont="1" applyBorder="1" applyAlignment="1">
      <alignment horizontal="center" vertical="center" wrapText="1"/>
    </xf>
    <xf numFmtId="3" fontId="0" fillId="0" borderId="7" xfId="1" applyNumberFormat="1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177" fontId="0" fillId="0" borderId="1" xfId="1" applyNumberFormat="1" applyFont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178" fontId="0" fillId="0" borderId="0" xfId="0" applyNumberFormat="1">
      <alignment vertical="center"/>
    </xf>
    <xf numFmtId="0" fontId="0" fillId="6" borderId="1" xfId="0" applyFill="1" applyBorder="1" applyAlignment="1">
      <alignment horizontal="center" vertical="center"/>
    </xf>
    <xf numFmtId="178" fontId="0" fillId="0" borderId="1" xfId="0" applyNumberFormat="1" applyBorder="1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8" xfId="0" applyBorder="1">
      <alignment vertical="center"/>
    </xf>
    <xf numFmtId="179" fontId="0" fillId="0" borderId="1" xfId="1" applyNumberFormat="1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1" xfId="4" applyFont="1" applyFill="1" applyBorder="1" applyAlignment="1">
      <alignment horizontal="center" vertical="center"/>
    </xf>
    <xf numFmtId="0" fontId="9" fillId="0" borderId="1" xfId="4" applyFont="1" applyFill="1" applyBorder="1" applyAlignment="1">
      <alignment horizontal="center" vertical="center"/>
    </xf>
    <xf numFmtId="0" fontId="9" fillId="0" borderId="0" xfId="0" applyFont="1">
      <alignment vertical="center"/>
    </xf>
    <xf numFmtId="14" fontId="0" fillId="0" borderId="1" xfId="0" applyNumberFormat="1" applyBorder="1">
      <alignment vertical="center"/>
    </xf>
    <xf numFmtId="0" fontId="5" fillId="0" borderId="0" xfId="5" applyFont="1" applyFill="1" applyBorder="1" applyAlignment="1">
      <alignment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6">
    <cellStyle name="강조색5" xfId="4" builtinId="45"/>
    <cellStyle name="백분율" xfId="3" builtinId="5"/>
    <cellStyle name="쉼표 [0]" xfId="1" builtinId="6"/>
    <cellStyle name="통화 [0]" xfId="2" builtinId="7"/>
    <cellStyle name="표준" xfId="0" builtinId="0"/>
    <cellStyle name="표준_기본작업2" xfId="5" xr:uid="{18764ED1-2364-40F1-81A7-489DFFE2373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2020년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'기타작업-1'!$A$3:$A$8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'기타작업-1'!$B$3:$B$8</c:f>
              <c:numCache>
                <c:formatCode>#,##0_ </c:formatCode>
                <c:ptCount val="6"/>
                <c:pt idx="0">
                  <c:v>420.52083333333297</c:v>
                </c:pt>
                <c:pt idx="1">
                  <c:v>248.94833333333301</c:v>
                </c:pt>
                <c:pt idx="2">
                  <c:v>410.428333333333</c:v>
                </c:pt>
                <c:pt idx="3">
                  <c:v>386.879166666667</c:v>
                </c:pt>
                <c:pt idx="4">
                  <c:v>400.33583333333303</c:v>
                </c:pt>
                <c:pt idx="5">
                  <c:v>339.78083333333302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A-4B74-B44A-488D3392F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7526527"/>
        <c:axId val="1317527007"/>
      </c:lineChart>
      <c:catAx>
        <c:axId val="131752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7527007"/>
        <c:crosses val="autoZero"/>
        <c:auto val="1"/>
        <c:lblAlgn val="ctr"/>
        <c:lblOffset val="100"/>
        <c:noMultiLvlLbl val="0"/>
      </c:catAx>
      <c:valAx>
        <c:axId val="131752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7526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0</xdr:colOff>
      <xdr:row>14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0</xdr:row>
          <xdr:rowOff>47625</xdr:rowOff>
        </xdr:from>
        <xdr:to>
          <xdr:col>5</xdr:col>
          <xdr:colOff>1143000</xdr:colOff>
          <xdr:row>1</xdr:row>
          <xdr:rowOff>190500</xdr:rowOff>
        </xdr:to>
        <xdr:sp macro="" textlink="">
          <xdr:nvSpPr>
            <xdr:cNvPr id="2049" name="cmd원아등록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4FCF7-CB6C-4E76-B119-ED1DA63A05F1}">
  <sheetPr codeName="Sheet2"/>
  <dimension ref="A1:H32"/>
  <sheetViews>
    <sheetView tabSelected="1" workbookViewId="0"/>
  </sheetViews>
  <sheetFormatPr defaultRowHeight="16.5" x14ac:dyDescent="0.3"/>
  <cols>
    <col min="1" max="2" width="7.125" bestFit="1" customWidth="1"/>
    <col min="3" max="3" width="10" bestFit="1" customWidth="1"/>
    <col min="4" max="4" width="14.125" bestFit="1" customWidth="1"/>
    <col min="5" max="5" width="12.375" bestFit="1" customWidth="1"/>
    <col min="7" max="7" width="5.25" bestFit="1" customWidth="1"/>
    <col min="8" max="8" width="11" bestFit="1" customWidth="1"/>
  </cols>
  <sheetData>
    <row r="1" spans="1:8" x14ac:dyDescent="0.3">
      <c r="A1" t="s">
        <v>0</v>
      </c>
    </row>
    <row r="2" spans="1:8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8" x14ac:dyDescent="0.3">
      <c r="A3" s="2" t="s">
        <v>9</v>
      </c>
      <c r="B3" s="2" t="s">
        <v>10</v>
      </c>
      <c r="C3" s="2" t="s">
        <v>11</v>
      </c>
      <c r="D3" s="3">
        <v>53000000</v>
      </c>
      <c r="E3" s="4">
        <v>3811</v>
      </c>
      <c r="F3" s="2" t="s">
        <v>12</v>
      </c>
      <c r="G3" s="2" t="s">
        <v>13</v>
      </c>
      <c r="H3" s="4">
        <v>100000</v>
      </c>
    </row>
    <row r="4" spans="1:8" x14ac:dyDescent="0.3">
      <c r="A4" s="2" t="s">
        <v>14</v>
      </c>
      <c r="B4" s="2" t="s">
        <v>15</v>
      </c>
      <c r="C4" s="2" t="s">
        <v>11</v>
      </c>
      <c r="D4" s="3">
        <v>32000000</v>
      </c>
      <c r="E4" s="4">
        <v>2403</v>
      </c>
      <c r="F4" s="2" t="s">
        <v>12</v>
      </c>
      <c r="G4" s="2" t="s">
        <v>16</v>
      </c>
      <c r="H4" s="4">
        <v>90000</v>
      </c>
    </row>
    <row r="5" spans="1:8" x14ac:dyDescent="0.3">
      <c r="A5" s="2" t="s">
        <v>17</v>
      </c>
      <c r="B5" s="2" t="s">
        <v>15</v>
      </c>
      <c r="C5" s="2" t="s">
        <v>11</v>
      </c>
      <c r="D5" s="3">
        <v>22000000</v>
      </c>
      <c r="E5" s="4">
        <v>2006</v>
      </c>
      <c r="F5" s="2" t="s">
        <v>18</v>
      </c>
      <c r="G5" s="2" t="s">
        <v>19</v>
      </c>
      <c r="H5" s="4">
        <v>66000</v>
      </c>
    </row>
    <row r="6" spans="1:8" x14ac:dyDescent="0.3">
      <c r="A6" s="2" t="s">
        <v>17</v>
      </c>
      <c r="B6" s="2" t="s">
        <v>10</v>
      </c>
      <c r="C6" s="2" t="s">
        <v>20</v>
      </c>
      <c r="D6" s="3">
        <v>34000000</v>
      </c>
      <c r="E6" s="4">
        <v>1892</v>
      </c>
      <c r="F6" s="2" t="s">
        <v>18</v>
      </c>
      <c r="G6" s="2" t="s">
        <v>19</v>
      </c>
      <c r="H6" s="4">
        <v>120000</v>
      </c>
    </row>
    <row r="7" spans="1:8" x14ac:dyDescent="0.3">
      <c r="A7" s="2" t="s">
        <v>21</v>
      </c>
      <c r="B7" s="2" t="s">
        <v>22</v>
      </c>
      <c r="C7" s="2" t="s">
        <v>20</v>
      </c>
      <c r="D7" s="3">
        <v>28000000</v>
      </c>
      <c r="E7" s="4">
        <v>1801</v>
      </c>
      <c r="F7" s="2" t="s">
        <v>23</v>
      </c>
      <c r="G7" s="2" t="s">
        <v>19</v>
      </c>
      <c r="H7" s="4">
        <v>112000</v>
      </c>
    </row>
    <row r="8" spans="1:8" x14ac:dyDescent="0.3">
      <c r="A8" s="2" t="s">
        <v>24</v>
      </c>
      <c r="B8" s="2" t="s">
        <v>10</v>
      </c>
      <c r="C8" s="2" t="s">
        <v>20</v>
      </c>
      <c r="D8" s="3">
        <v>46000000</v>
      </c>
      <c r="E8" s="4">
        <v>1915</v>
      </c>
      <c r="F8" s="2" t="s">
        <v>23</v>
      </c>
      <c r="G8" s="2" t="s">
        <v>16</v>
      </c>
      <c r="H8" s="4">
        <v>92000</v>
      </c>
    </row>
    <row r="9" spans="1:8" x14ac:dyDescent="0.3">
      <c r="A9" s="2" t="s">
        <v>24</v>
      </c>
      <c r="B9" s="2" t="s">
        <v>15</v>
      </c>
      <c r="C9" s="2" t="s">
        <v>20</v>
      </c>
      <c r="D9" s="3">
        <v>54000000</v>
      </c>
      <c r="E9" s="4">
        <v>2800</v>
      </c>
      <c r="F9" s="2" t="s">
        <v>25</v>
      </c>
      <c r="G9" s="2" t="s">
        <v>19</v>
      </c>
      <c r="H9" s="4">
        <v>108000</v>
      </c>
    </row>
    <row r="10" spans="1:8" x14ac:dyDescent="0.3">
      <c r="A10" s="2" t="s">
        <v>21</v>
      </c>
      <c r="B10" s="2" t="s">
        <v>26</v>
      </c>
      <c r="C10" s="2" t="s">
        <v>11</v>
      </c>
      <c r="D10" s="3">
        <v>32000000</v>
      </c>
      <c r="E10" s="4">
        <v>3701</v>
      </c>
      <c r="F10" s="2" t="s">
        <v>18</v>
      </c>
      <c r="G10" s="2" t="s">
        <v>19</v>
      </c>
      <c r="H10" s="4">
        <v>90000</v>
      </c>
    </row>
    <row r="11" spans="1:8" x14ac:dyDescent="0.3">
      <c r="A11" s="2" t="s">
        <v>9</v>
      </c>
      <c r="B11" s="2" t="s">
        <v>26</v>
      </c>
      <c r="C11" s="2" t="s">
        <v>20</v>
      </c>
      <c r="D11" s="3">
        <v>44000000</v>
      </c>
      <c r="E11" s="4">
        <v>4287</v>
      </c>
      <c r="F11" s="2" t="s">
        <v>25</v>
      </c>
      <c r="G11" s="2" t="s">
        <v>19</v>
      </c>
      <c r="H11" s="4">
        <v>120000</v>
      </c>
    </row>
    <row r="12" spans="1:8" x14ac:dyDescent="0.3">
      <c r="A12" s="2" t="s">
        <v>14</v>
      </c>
      <c r="B12" s="2" t="s">
        <v>10</v>
      </c>
      <c r="C12" s="2" t="s">
        <v>11</v>
      </c>
      <c r="D12" s="3">
        <v>24000000</v>
      </c>
      <c r="E12" s="4">
        <v>4480</v>
      </c>
      <c r="F12" s="2" t="s">
        <v>25</v>
      </c>
      <c r="G12" s="2" t="s">
        <v>16</v>
      </c>
      <c r="H12" s="4">
        <v>70000</v>
      </c>
    </row>
    <row r="13" spans="1:8" x14ac:dyDescent="0.3">
      <c r="A13" s="2" t="s">
        <v>17</v>
      </c>
      <c r="B13" s="2" t="s">
        <v>10</v>
      </c>
      <c r="C13" s="2" t="s">
        <v>20</v>
      </c>
      <c r="D13" s="3">
        <v>45000000</v>
      </c>
      <c r="E13" s="4">
        <v>4126</v>
      </c>
      <c r="F13" s="2" t="s">
        <v>23</v>
      </c>
      <c r="G13" s="2" t="s">
        <v>13</v>
      </c>
      <c r="H13" s="4">
        <v>90000</v>
      </c>
    </row>
    <row r="14" spans="1:8" x14ac:dyDescent="0.3">
      <c r="A14" s="2" t="s">
        <v>21</v>
      </c>
      <c r="B14" s="2" t="s">
        <v>15</v>
      </c>
      <c r="C14" s="2" t="s">
        <v>20</v>
      </c>
      <c r="D14" s="3">
        <v>38000000</v>
      </c>
      <c r="E14" s="4">
        <v>2350</v>
      </c>
      <c r="F14" s="2" t="s">
        <v>23</v>
      </c>
      <c r="G14" s="2" t="s">
        <v>16</v>
      </c>
      <c r="H14" s="4">
        <v>114000</v>
      </c>
    </row>
    <row r="15" spans="1:8" x14ac:dyDescent="0.3">
      <c r="A15" s="2" t="s">
        <v>21</v>
      </c>
      <c r="B15" s="2" t="s">
        <v>26</v>
      </c>
      <c r="C15" s="2" t="s">
        <v>20</v>
      </c>
      <c r="D15" s="3">
        <v>57000000</v>
      </c>
      <c r="E15" s="4">
        <v>4007</v>
      </c>
      <c r="F15" s="2" t="s">
        <v>23</v>
      </c>
      <c r="G15" s="2" t="s">
        <v>16</v>
      </c>
      <c r="H15" s="4">
        <v>114000</v>
      </c>
    </row>
    <row r="16" spans="1:8" x14ac:dyDescent="0.3">
      <c r="A16" s="2" t="s">
        <v>17</v>
      </c>
      <c r="B16" s="2" t="s">
        <v>15</v>
      </c>
      <c r="C16" s="2" t="s">
        <v>11</v>
      </c>
      <c r="D16" s="3">
        <v>58000000</v>
      </c>
      <c r="E16" s="4">
        <v>4204</v>
      </c>
      <c r="F16" s="2" t="s">
        <v>25</v>
      </c>
      <c r="G16" s="2" t="s">
        <v>13</v>
      </c>
      <c r="H16" s="4">
        <v>100000</v>
      </c>
    </row>
    <row r="17" spans="1:8" x14ac:dyDescent="0.3">
      <c r="A17" s="2" t="s">
        <v>9</v>
      </c>
      <c r="B17" s="2" t="s">
        <v>26</v>
      </c>
      <c r="C17" s="2" t="s">
        <v>20</v>
      </c>
      <c r="D17" s="3">
        <v>53000000</v>
      </c>
      <c r="E17" s="4">
        <v>2456</v>
      </c>
      <c r="F17" s="2" t="s">
        <v>18</v>
      </c>
      <c r="G17" s="2" t="s">
        <v>19</v>
      </c>
      <c r="H17" s="4">
        <v>106000</v>
      </c>
    </row>
    <row r="18" spans="1:8" x14ac:dyDescent="0.3">
      <c r="A18" s="2" t="s">
        <v>14</v>
      </c>
      <c r="B18" s="2" t="s">
        <v>10</v>
      </c>
      <c r="C18" s="2" t="s">
        <v>20</v>
      </c>
      <c r="D18" s="3">
        <v>39000000</v>
      </c>
      <c r="E18" s="4">
        <v>3541</v>
      </c>
      <c r="F18" s="2" t="s">
        <v>23</v>
      </c>
      <c r="G18" s="2" t="s">
        <v>19</v>
      </c>
      <c r="H18" s="4">
        <v>117000</v>
      </c>
    </row>
    <row r="19" spans="1:8" x14ac:dyDescent="0.3">
      <c r="A19" s="2" t="s">
        <v>17</v>
      </c>
      <c r="B19" s="2" t="s">
        <v>26</v>
      </c>
      <c r="C19" s="2" t="s">
        <v>11</v>
      </c>
      <c r="D19" s="3">
        <v>34000000</v>
      </c>
      <c r="E19" s="4">
        <v>2496</v>
      </c>
      <c r="F19" s="2" t="s">
        <v>23</v>
      </c>
      <c r="G19" s="2" t="s">
        <v>13</v>
      </c>
      <c r="H19" s="4">
        <v>90000</v>
      </c>
    </row>
    <row r="20" spans="1:8" x14ac:dyDescent="0.3">
      <c r="A20" s="2" t="s">
        <v>9</v>
      </c>
      <c r="B20" s="2" t="s">
        <v>22</v>
      </c>
      <c r="C20" s="2" t="s">
        <v>20</v>
      </c>
      <c r="D20" s="3">
        <v>32000000</v>
      </c>
      <c r="E20" s="4">
        <v>3749</v>
      </c>
      <c r="F20" s="2" t="s">
        <v>25</v>
      </c>
      <c r="G20" s="2" t="s">
        <v>16</v>
      </c>
      <c r="H20" s="4">
        <v>120000</v>
      </c>
    </row>
    <row r="21" spans="1:8" x14ac:dyDescent="0.3">
      <c r="A21" s="2" t="s">
        <v>17</v>
      </c>
      <c r="B21" s="2" t="s">
        <v>15</v>
      </c>
      <c r="C21" s="2" t="s">
        <v>11</v>
      </c>
      <c r="D21" s="3">
        <v>31000000</v>
      </c>
      <c r="E21" s="4">
        <v>3016</v>
      </c>
      <c r="F21" s="2" t="s">
        <v>23</v>
      </c>
      <c r="G21" s="2" t="s">
        <v>13</v>
      </c>
      <c r="H21" s="4">
        <v>90000</v>
      </c>
    </row>
    <row r="22" spans="1:8" x14ac:dyDescent="0.3">
      <c r="A22" s="2" t="s">
        <v>14</v>
      </c>
      <c r="B22" s="2" t="s">
        <v>15</v>
      </c>
      <c r="C22" s="2" t="s">
        <v>20</v>
      </c>
      <c r="D22" s="3">
        <v>34000000</v>
      </c>
      <c r="E22" s="4">
        <v>2864</v>
      </c>
      <c r="F22" s="2" t="s">
        <v>23</v>
      </c>
      <c r="G22" s="2" t="s">
        <v>16</v>
      </c>
      <c r="H22" s="4">
        <v>120000</v>
      </c>
    </row>
    <row r="23" spans="1:8" x14ac:dyDescent="0.3">
      <c r="A23" s="2" t="s">
        <v>24</v>
      </c>
      <c r="B23" s="2" t="s">
        <v>10</v>
      </c>
      <c r="C23" s="2" t="s">
        <v>20</v>
      </c>
      <c r="D23" s="3">
        <v>34000000</v>
      </c>
      <c r="E23" s="4">
        <v>3562</v>
      </c>
      <c r="F23" s="2" t="s">
        <v>23</v>
      </c>
      <c r="G23" s="2" t="s">
        <v>19</v>
      </c>
      <c r="H23" s="4">
        <v>120000</v>
      </c>
    </row>
    <row r="24" spans="1:8" x14ac:dyDescent="0.3">
      <c r="A24" s="2" t="s">
        <v>9</v>
      </c>
      <c r="B24" s="2" t="s">
        <v>10</v>
      </c>
      <c r="C24" s="2" t="s">
        <v>11</v>
      </c>
      <c r="D24" s="3">
        <v>27000000</v>
      </c>
      <c r="E24" s="4">
        <v>3141</v>
      </c>
      <c r="F24" s="2" t="s">
        <v>23</v>
      </c>
      <c r="G24" s="2" t="s">
        <v>19</v>
      </c>
      <c r="H24" s="4">
        <v>81000</v>
      </c>
    </row>
    <row r="25" spans="1:8" x14ac:dyDescent="0.3">
      <c r="A25" s="2" t="s">
        <v>24</v>
      </c>
      <c r="B25" s="2" t="s">
        <v>22</v>
      </c>
      <c r="C25" s="2" t="s">
        <v>11</v>
      </c>
      <c r="D25" s="3">
        <v>49000000</v>
      </c>
      <c r="E25" s="4">
        <v>3869</v>
      </c>
      <c r="F25" s="2" t="s">
        <v>12</v>
      </c>
      <c r="G25" s="2" t="s">
        <v>16</v>
      </c>
      <c r="H25" s="4">
        <v>98000</v>
      </c>
    </row>
    <row r="26" spans="1:8" x14ac:dyDescent="0.3">
      <c r="A26" s="2" t="s">
        <v>21</v>
      </c>
      <c r="B26" s="2" t="s">
        <v>22</v>
      </c>
      <c r="C26" s="2" t="s">
        <v>20</v>
      </c>
      <c r="D26" s="3">
        <v>29000000</v>
      </c>
      <c r="E26" s="4">
        <v>1870</v>
      </c>
      <c r="F26" s="2" t="s">
        <v>25</v>
      </c>
      <c r="G26" s="2" t="s">
        <v>16</v>
      </c>
      <c r="H26" s="4">
        <v>116000</v>
      </c>
    </row>
    <row r="27" spans="1:8" x14ac:dyDescent="0.3">
      <c r="A27" s="2" t="s">
        <v>9</v>
      </c>
      <c r="B27" s="2" t="s">
        <v>22</v>
      </c>
      <c r="C27" s="2" t="s">
        <v>11</v>
      </c>
      <c r="D27" s="3">
        <v>37000000</v>
      </c>
      <c r="E27" s="4">
        <v>3969</v>
      </c>
      <c r="F27" s="2" t="s">
        <v>18</v>
      </c>
      <c r="G27" s="2" t="s">
        <v>16</v>
      </c>
      <c r="H27" s="4">
        <v>74000</v>
      </c>
    </row>
    <row r="28" spans="1:8" x14ac:dyDescent="0.3">
      <c r="A28" s="2" t="s">
        <v>14</v>
      </c>
      <c r="B28" s="2" t="s">
        <v>26</v>
      </c>
      <c r="C28" s="2" t="s">
        <v>20</v>
      </c>
      <c r="D28" s="3">
        <v>30000000</v>
      </c>
      <c r="E28" s="4">
        <v>3000</v>
      </c>
      <c r="F28" s="2" t="s">
        <v>12</v>
      </c>
      <c r="G28" s="2" t="s">
        <v>19</v>
      </c>
      <c r="H28" s="4">
        <v>120000</v>
      </c>
    </row>
    <row r="29" spans="1:8" x14ac:dyDescent="0.3">
      <c r="A29" s="2" t="s">
        <v>24</v>
      </c>
      <c r="B29" s="2" t="s">
        <v>22</v>
      </c>
      <c r="C29" s="2" t="s">
        <v>20</v>
      </c>
      <c r="D29" s="3">
        <v>25000000</v>
      </c>
      <c r="E29" s="4">
        <v>2193</v>
      </c>
      <c r="F29" s="2" t="s">
        <v>18</v>
      </c>
      <c r="G29" s="2" t="s">
        <v>13</v>
      </c>
      <c r="H29" s="4">
        <v>100000</v>
      </c>
    </row>
    <row r="30" spans="1:8" x14ac:dyDescent="0.3">
      <c r="A30" s="2" t="s">
        <v>14</v>
      </c>
      <c r="B30" s="2" t="s">
        <v>26</v>
      </c>
      <c r="C30" s="2" t="s">
        <v>11</v>
      </c>
      <c r="D30" s="3">
        <v>49000000</v>
      </c>
      <c r="E30" s="4">
        <v>2051</v>
      </c>
      <c r="F30" s="2" t="s">
        <v>25</v>
      </c>
      <c r="G30" s="2" t="s">
        <v>13</v>
      </c>
      <c r="H30" s="4">
        <v>98000</v>
      </c>
    </row>
    <row r="32" spans="1:8" x14ac:dyDescent="0.3">
      <c r="A32" s="48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BB51F-83B8-4904-A8D9-FE45489FD765}">
  <sheetPr codeName="Sheet3"/>
  <dimension ref="A2:N51"/>
  <sheetViews>
    <sheetView workbookViewId="0"/>
  </sheetViews>
  <sheetFormatPr defaultRowHeight="16.5" x14ac:dyDescent="0.3"/>
  <cols>
    <col min="1" max="1" width="10.25" customWidth="1"/>
    <col min="2" max="2" width="11.125" bestFit="1" customWidth="1"/>
    <col min="3" max="3" width="8.375" customWidth="1"/>
    <col min="4" max="4" width="11" bestFit="1" customWidth="1"/>
    <col min="5" max="5" width="10.25" customWidth="1"/>
    <col min="6" max="6" width="12.375" bestFit="1" customWidth="1"/>
    <col min="7" max="7" width="6.5" customWidth="1"/>
    <col min="8" max="8" width="12.375" bestFit="1" customWidth="1"/>
    <col min="9" max="9" width="8.375" customWidth="1"/>
    <col min="10" max="10" width="12.375" bestFit="1" customWidth="1"/>
    <col min="11" max="12" width="10.25" customWidth="1"/>
    <col min="13" max="13" width="12.125" customWidth="1"/>
    <col min="14" max="14" width="9.75" bestFit="1" customWidth="1"/>
  </cols>
  <sheetData>
    <row r="2" spans="1:14" x14ac:dyDescent="0.3">
      <c r="A2" s="5" t="s">
        <v>27</v>
      </c>
      <c r="B2" s="5" t="s">
        <v>28</v>
      </c>
      <c r="C2" s="5" t="s">
        <v>29</v>
      </c>
      <c r="D2" s="5" t="s">
        <v>30</v>
      </c>
      <c r="E2" s="5" t="s">
        <v>31</v>
      </c>
      <c r="F2" s="5" t="s">
        <v>32</v>
      </c>
      <c r="G2" s="5" t="s">
        <v>33</v>
      </c>
      <c r="H2" s="5" t="s">
        <v>34</v>
      </c>
      <c r="I2" s="5" t="s">
        <v>35</v>
      </c>
      <c r="J2" s="5" t="s">
        <v>36</v>
      </c>
      <c r="K2" s="5" t="s">
        <v>37</v>
      </c>
      <c r="L2" s="5" t="s">
        <v>38</v>
      </c>
      <c r="M2" s="5" t="s">
        <v>39</v>
      </c>
      <c r="N2" s="5" t="s">
        <v>40</v>
      </c>
    </row>
    <row r="3" spans="1:14" x14ac:dyDescent="0.3">
      <c r="A3" s="6">
        <v>1</v>
      </c>
      <c r="B3" s="7">
        <v>44311</v>
      </c>
      <c r="C3" s="6" t="s">
        <v>41</v>
      </c>
      <c r="D3" s="6" t="s">
        <v>42</v>
      </c>
      <c r="E3" s="6" t="s">
        <v>43</v>
      </c>
      <c r="F3" s="8">
        <v>750000</v>
      </c>
      <c r="G3" s="6">
        <v>1</v>
      </c>
      <c r="H3" s="8">
        <v>750000</v>
      </c>
      <c r="I3" s="9">
        <v>0.02</v>
      </c>
      <c r="J3" s="8">
        <v>15000</v>
      </c>
      <c r="K3" s="6" t="s">
        <v>44</v>
      </c>
      <c r="L3" s="6">
        <v>10</v>
      </c>
      <c r="M3" s="9">
        <v>0.05</v>
      </c>
      <c r="N3" s="8">
        <v>7000</v>
      </c>
    </row>
    <row r="4" spans="1:14" x14ac:dyDescent="0.3">
      <c r="A4" s="10">
        <v>2</v>
      </c>
      <c r="B4" s="11">
        <v>44312</v>
      </c>
      <c r="C4" s="10" t="s">
        <v>45</v>
      </c>
      <c r="D4" s="10" t="s">
        <v>46</v>
      </c>
      <c r="E4" s="10" t="s">
        <v>43</v>
      </c>
      <c r="F4" s="12">
        <v>650000</v>
      </c>
      <c r="G4" s="10">
        <v>12</v>
      </c>
      <c r="H4" s="12">
        <v>7800000</v>
      </c>
      <c r="I4" s="13">
        <v>0.01</v>
      </c>
      <c r="J4" s="12">
        <v>78000</v>
      </c>
      <c r="K4" s="10" t="s">
        <v>47</v>
      </c>
      <c r="L4" s="10">
        <v>10</v>
      </c>
      <c r="M4" s="13">
        <v>0.05</v>
      </c>
      <c r="N4" s="12">
        <v>5000</v>
      </c>
    </row>
    <row r="5" spans="1:14" x14ac:dyDescent="0.3">
      <c r="A5" s="14">
        <v>3</v>
      </c>
      <c r="B5" s="15">
        <v>44313</v>
      </c>
      <c r="C5" s="14" t="s">
        <v>48</v>
      </c>
      <c r="D5" s="14" t="s">
        <v>49</v>
      </c>
      <c r="E5" s="14" t="s">
        <v>50</v>
      </c>
      <c r="F5" s="16">
        <v>96000</v>
      </c>
      <c r="G5" s="14">
        <v>7</v>
      </c>
      <c r="H5" s="16">
        <v>672000</v>
      </c>
      <c r="I5" s="17">
        <v>0.04</v>
      </c>
      <c r="J5" s="16">
        <v>26880</v>
      </c>
      <c r="K5" s="14" t="s">
        <v>44</v>
      </c>
      <c r="L5" s="14">
        <v>3</v>
      </c>
      <c r="M5" s="17">
        <v>0</v>
      </c>
      <c r="N5" s="16">
        <v>7000</v>
      </c>
    </row>
    <row r="6" spans="1:14" x14ac:dyDescent="0.3">
      <c r="A6" s="10">
        <v>4</v>
      </c>
      <c r="B6" s="11">
        <v>44314</v>
      </c>
      <c r="C6" s="10" t="s">
        <v>51</v>
      </c>
      <c r="D6" s="10" t="s">
        <v>52</v>
      </c>
      <c r="E6" s="10" t="s">
        <v>50</v>
      </c>
      <c r="F6" s="12">
        <v>92000</v>
      </c>
      <c r="G6" s="10">
        <v>2</v>
      </c>
      <c r="H6" s="12">
        <v>184000</v>
      </c>
      <c r="I6" s="13">
        <v>0.04</v>
      </c>
      <c r="J6" s="12">
        <v>7360</v>
      </c>
      <c r="K6" s="10" t="s">
        <v>44</v>
      </c>
      <c r="L6" s="10">
        <v>3</v>
      </c>
      <c r="M6" s="13">
        <v>0</v>
      </c>
      <c r="N6" s="12">
        <v>3000</v>
      </c>
    </row>
    <row r="7" spans="1:14" x14ac:dyDescent="0.3">
      <c r="A7" s="14">
        <v>5</v>
      </c>
      <c r="B7" s="15">
        <v>44315</v>
      </c>
      <c r="C7" s="14" t="s">
        <v>53</v>
      </c>
      <c r="D7" s="14" t="s">
        <v>46</v>
      </c>
      <c r="E7" s="14" t="s">
        <v>43</v>
      </c>
      <c r="F7" s="16">
        <v>500000</v>
      </c>
      <c r="G7" s="14">
        <v>6</v>
      </c>
      <c r="H7" s="16">
        <v>3000000</v>
      </c>
      <c r="I7" s="17">
        <v>0.02</v>
      </c>
      <c r="J7" s="16">
        <v>60000</v>
      </c>
      <c r="K7" s="14" t="s">
        <v>47</v>
      </c>
      <c r="L7" s="14">
        <v>10</v>
      </c>
      <c r="M7" s="17">
        <v>0.05</v>
      </c>
      <c r="N7" s="16">
        <v>5000</v>
      </c>
    </row>
    <row r="8" spans="1:14" x14ac:dyDescent="0.3">
      <c r="A8" s="10">
        <v>6</v>
      </c>
      <c r="B8" s="11">
        <v>44316</v>
      </c>
      <c r="C8" s="10" t="s">
        <v>54</v>
      </c>
      <c r="D8" s="10" t="s">
        <v>55</v>
      </c>
      <c r="E8" s="10" t="s">
        <v>43</v>
      </c>
      <c r="F8" s="12">
        <v>110000</v>
      </c>
      <c r="G8" s="10">
        <v>6</v>
      </c>
      <c r="H8" s="12">
        <v>660000</v>
      </c>
      <c r="I8" s="13">
        <v>0.02</v>
      </c>
      <c r="J8" s="12">
        <v>13200</v>
      </c>
      <c r="K8" s="10" t="s">
        <v>56</v>
      </c>
      <c r="L8" s="10">
        <v>0</v>
      </c>
      <c r="M8" s="13">
        <v>0</v>
      </c>
      <c r="N8" s="12">
        <v>7000</v>
      </c>
    </row>
    <row r="9" spans="1:14" x14ac:dyDescent="0.3">
      <c r="A9" s="14">
        <v>7</v>
      </c>
      <c r="B9" s="15">
        <v>44317</v>
      </c>
      <c r="C9" s="14" t="s">
        <v>57</v>
      </c>
      <c r="D9" s="14" t="s">
        <v>58</v>
      </c>
      <c r="E9" s="14" t="s">
        <v>50</v>
      </c>
      <c r="F9" s="16">
        <v>110000</v>
      </c>
      <c r="G9" s="14">
        <v>9</v>
      </c>
      <c r="H9" s="16">
        <v>990000</v>
      </c>
      <c r="I9" s="17">
        <v>0.04</v>
      </c>
      <c r="J9" s="16">
        <v>39600</v>
      </c>
      <c r="K9" s="14" t="s">
        <v>47</v>
      </c>
      <c r="L9" s="14">
        <v>6</v>
      </c>
      <c r="M9" s="17">
        <v>0.05</v>
      </c>
      <c r="N9" s="16">
        <v>10000</v>
      </c>
    </row>
    <row r="10" spans="1:14" x14ac:dyDescent="0.3">
      <c r="A10" s="10">
        <v>8</v>
      </c>
      <c r="B10" s="11">
        <v>44318</v>
      </c>
      <c r="C10" s="10" t="s">
        <v>59</v>
      </c>
      <c r="D10" s="10" t="s">
        <v>60</v>
      </c>
      <c r="E10" s="10" t="s">
        <v>43</v>
      </c>
      <c r="F10" s="12">
        <v>450000</v>
      </c>
      <c r="G10" s="10">
        <v>2</v>
      </c>
      <c r="H10" s="12">
        <v>900000</v>
      </c>
      <c r="I10" s="13">
        <v>0.02</v>
      </c>
      <c r="J10" s="12">
        <v>18000</v>
      </c>
      <c r="K10" s="10" t="s">
        <v>44</v>
      </c>
      <c r="L10" s="10">
        <v>6</v>
      </c>
      <c r="M10" s="13">
        <v>0.05</v>
      </c>
      <c r="N10" s="12">
        <v>10000</v>
      </c>
    </row>
    <row r="11" spans="1:14" x14ac:dyDescent="0.3">
      <c r="A11" s="14">
        <v>9</v>
      </c>
      <c r="B11" s="15">
        <v>44319</v>
      </c>
      <c r="C11" s="14" t="s">
        <v>61</v>
      </c>
      <c r="D11" s="14" t="s">
        <v>62</v>
      </c>
      <c r="E11" s="14" t="s">
        <v>63</v>
      </c>
      <c r="F11" s="16">
        <v>160000</v>
      </c>
      <c r="G11" s="14">
        <v>6</v>
      </c>
      <c r="H11" s="16">
        <v>960000</v>
      </c>
      <c r="I11" s="17">
        <v>0.03</v>
      </c>
      <c r="J11" s="16">
        <v>28800</v>
      </c>
      <c r="K11" s="14" t="s">
        <v>44</v>
      </c>
      <c r="L11" s="14">
        <v>6</v>
      </c>
      <c r="M11" s="17">
        <v>0.05</v>
      </c>
      <c r="N11" s="16">
        <v>0</v>
      </c>
    </row>
    <row r="12" spans="1:14" x14ac:dyDescent="0.3">
      <c r="A12" s="10">
        <v>10</v>
      </c>
      <c r="B12" s="11">
        <v>44320</v>
      </c>
      <c r="C12" s="10" t="s">
        <v>64</v>
      </c>
      <c r="D12" s="10" t="s">
        <v>46</v>
      </c>
      <c r="E12" s="10" t="s">
        <v>43</v>
      </c>
      <c r="F12" s="12">
        <v>1250000</v>
      </c>
      <c r="G12" s="10">
        <v>5</v>
      </c>
      <c r="H12" s="12">
        <v>6250000</v>
      </c>
      <c r="I12" s="13">
        <v>0.05</v>
      </c>
      <c r="J12" s="12">
        <v>1375000</v>
      </c>
      <c r="K12" s="10" t="s">
        <v>44</v>
      </c>
      <c r="L12" s="10">
        <v>12</v>
      </c>
      <c r="M12" s="13">
        <v>0.05</v>
      </c>
      <c r="N12" s="12">
        <v>7000</v>
      </c>
    </row>
    <row r="13" spans="1:14" x14ac:dyDescent="0.3">
      <c r="A13" s="14">
        <v>11</v>
      </c>
      <c r="B13" s="15">
        <v>44330</v>
      </c>
      <c r="C13" s="14" t="s">
        <v>65</v>
      </c>
      <c r="D13" s="14" t="s">
        <v>62</v>
      </c>
      <c r="E13" s="14" t="s">
        <v>63</v>
      </c>
      <c r="F13" s="16">
        <v>150000</v>
      </c>
      <c r="G13" s="14">
        <v>2</v>
      </c>
      <c r="H13" s="16">
        <v>300000</v>
      </c>
      <c r="I13" s="17">
        <v>0.03</v>
      </c>
      <c r="J13" s="16">
        <v>9000</v>
      </c>
      <c r="K13" s="14" t="s">
        <v>44</v>
      </c>
      <c r="L13" s="14">
        <v>6</v>
      </c>
      <c r="M13" s="17">
        <v>0.05</v>
      </c>
      <c r="N13" s="16">
        <v>0</v>
      </c>
    </row>
    <row r="14" spans="1:14" x14ac:dyDescent="0.3">
      <c r="A14" s="10">
        <v>12</v>
      </c>
      <c r="B14" s="11">
        <v>44331</v>
      </c>
      <c r="C14" s="10" t="s">
        <v>66</v>
      </c>
      <c r="D14" s="10" t="s">
        <v>67</v>
      </c>
      <c r="E14" s="10" t="s">
        <v>50</v>
      </c>
      <c r="F14" s="12">
        <v>137000</v>
      </c>
      <c r="G14" s="10">
        <v>8</v>
      </c>
      <c r="H14" s="12">
        <v>1096000</v>
      </c>
      <c r="I14" s="13">
        <v>0.04</v>
      </c>
      <c r="J14" s="12">
        <v>43840</v>
      </c>
      <c r="K14" s="10" t="s">
        <v>47</v>
      </c>
      <c r="L14" s="10">
        <v>6</v>
      </c>
      <c r="M14" s="13">
        <v>0.05</v>
      </c>
      <c r="N14" s="12">
        <v>7000</v>
      </c>
    </row>
    <row r="15" spans="1:14" x14ac:dyDescent="0.3">
      <c r="A15" s="14">
        <v>13</v>
      </c>
      <c r="B15" s="15">
        <v>44332</v>
      </c>
      <c r="C15" s="14" t="s">
        <v>68</v>
      </c>
      <c r="D15" s="14" t="s">
        <v>67</v>
      </c>
      <c r="E15" s="14" t="s">
        <v>50</v>
      </c>
      <c r="F15" s="16">
        <v>131000</v>
      </c>
      <c r="G15" s="14">
        <v>7</v>
      </c>
      <c r="H15" s="16">
        <v>917000</v>
      </c>
      <c r="I15" s="17">
        <v>0.04</v>
      </c>
      <c r="J15" s="16">
        <v>36680</v>
      </c>
      <c r="K15" s="14" t="s">
        <v>44</v>
      </c>
      <c r="L15" s="14">
        <v>6</v>
      </c>
      <c r="M15" s="17">
        <v>0.05</v>
      </c>
      <c r="N15" s="16">
        <v>5000</v>
      </c>
    </row>
    <row r="16" spans="1:14" x14ac:dyDescent="0.3">
      <c r="A16" s="10">
        <v>14</v>
      </c>
      <c r="B16" s="11">
        <v>44333</v>
      </c>
      <c r="C16" s="10" t="s">
        <v>69</v>
      </c>
      <c r="D16" s="10" t="s">
        <v>58</v>
      </c>
      <c r="E16" s="10" t="s">
        <v>50</v>
      </c>
      <c r="F16" s="12">
        <v>86000</v>
      </c>
      <c r="G16" s="10">
        <v>5</v>
      </c>
      <c r="H16" s="12">
        <v>430000</v>
      </c>
      <c r="I16" s="13">
        <v>0.04</v>
      </c>
      <c r="J16" s="12">
        <v>17200</v>
      </c>
      <c r="K16" s="10" t="s">
        <v>47</v>
      </c>
      <c r="L16" s="10">
        <v>3</v>
      </c>
      <c r="M16" s="13">
        <v>0</v>
      </c>
      <c r="N16" s="12">
        <v>10000</v>
      </c>
    </row>
    <row r="17" spans="1:14" x14ac:dyDescent="0.3">
      <c r="A17" s="14">
        <v>15</v>
      </c>
      <c r="B17" s="15">
        <v>44334</v>
      </c>
      <c r="C17" s="14" t="s">
        <v>70</v>
      </c>
      <c r="D17" s="14" t="s">
        <v>71</v>
      </c>
      <c r="E17" s="14" t="s">
        <v>63</v>
      </c>
      <c r="F17" s="16">
        <v>130000</v>
      </c>
      <c r="G17" s="14">
        <v>3</v>
      </c>
      <c r="H17" s="16">
        <v>390000</v>
      </c>
      <c r="I17" s="17">
        <v>0.03</v>
      </c>
      <c r="J17" s="16">
        <v>11700</v>
      </c>
      <c r="K17" s="14" t="s">
        <v>47</v>
      </c>
      <c r="L17" s="14">
        <v>6</v>
      </c>
      <c r="M17" s="17">
        <v>0.05</v>
      </c>
      <c r="N17" s="16">
        <v>0</v>
      </c>
    </row>
    <row r="18" spans="1:14" x14ac:dyDescent="0.3">
      <c r="A18" s="10">
        <v>16</v>
      </c>
      <c r="B18" s="11">
        <v>44335</v>
      </c>
      <c r="C18" s="10" t="s">
        <v>72</v>
      </c>
      <c r="D18" s="10" t="s">
        <v>73</v>
      </c>
      <c r="E18" s="10" t="s">
        <v>50</v>
      </c>
      <c r="F18" s="12">
        <v>40000</v>
      </c>
      <c r="G18" s="10">
        <v>6</v>
      </c>
      <c r="H18" s="12">
        <v>240000</v>
      </c>
      <c r="I18" s="13">
        <v>0.04</v>
      </c>
      <c r="J18" s="12">
        <v>9600</v>
      </c>
      <c r="K18" s="10" t="s">
        <v>74</v>
      </c>
      <c r="L18" s="10">
        <v>0</v>
      </c>
      <c r="M18" s="13">
        <v>0.03</v>
      </c>
      <c r="N18" s="12">
        <v>7000</v>
      </c>
    </row>
    <row r="19" spans="1:14" x14ac:dyDescent="0.3">
      <c r="A19" s="14">
        <v>17</v>
      </c>
      <c r="B19" s="15">
        <v>44336</v>
      </c>
      <c r="C19" s="14" t="s">
        <v>75</v>
      </c>
      <c r="D19" s="14" t="s">
        <v>76</v>
      </c>
      <c r="E19" s="14" t="s">
        <v>50</v>
      </c>
      <c r="F19" s="16">
        <v>40000</v>
      </c>
      <c r="G19" s="14">
        <v>3</v>
      </c>
      <c r="H19" s="16">
        <v>120000</v>
      </c>
      <c r="I19" s="17">
        <v>0.04</v>
      </c>
      <c r="J19" s="16">
        <v>4800</v>
      </c>
      <c r="K19" s="14" t="s">
        <v>74</v>
      </c>
      <c r="L19" s="14">
        <v>0</v>
      </c>
      <c r="M19" s="17">
        <v>0.03</v>
      </c>
      <c r="N19" s="16">
        <v>5000</v>
      </c>
    </row>
    <row r="20" spans="1:14" x14ac:dyDescent="0.3">
      <c r="A20" s="10">
        <v>18</v>
      </c>
      <c r="B20" s="11">
        <v>44337</v>
      </c>
      <c r="C20" s="10" t="s">
        <v>77</v>
      </c>
      <c r="D20" s="10" t="s">
        <v>42</v>
      </c>
      <c r="E20" s="10" t="s">
        <v>43</v>
      </c>
      <c r="F20" s="12">
        <v>800000</v>
      </c>
      <c r="G20" s="10">
        <v>5</v>
      </c>
      <c r="H20" s="12">
        <v>4000000</v>
      </c>
      <c r="I20" s="13">
        <v>0.02</v>
      </c>
      <c r="J20" s="12">
        <v>80000</v>
      </c>
      <c r="K20" s="10" t="s">
        <v>74</v>
      </c>
      <c r="L20" s="10">
        <v>10</v>
      </c>
      <c r="M20" s="13">
        <v>0.05</v>
      </c>
      <c r="N20" s="12">
        <v>7000</v>
      </c>
    </row>
    <row r="21" spans="1:14" x14ac:dyDescent="0.3">
      <c r="A21" s="14">
        <v>19</v>
      </c>
      <c r="B21" s="15">
        <v>44338</v>
      </c>
      <c r="C21" s="14" t="s">
        <v>78</v>
      </c>
      <c r="D21" s="14" t="s">
        <v>79</v>
      </c>
      <c r="E21" s="14" t="s">
        <v>43</v>
      </c>
      <c r="F21" s="16">
        <v>800000</v>
      </c>
      <c r="G21" s="14">
        <v>7</v>
      </c>
      <c r="H21" s="16">
        <v>5600000</v>
      </c>
      <c r="I21" s="17">
        <v>0.02</v>
      </c>
      <c r="J21" s="16">
        <v>112000</v>
      </c>
      <c r="K21" s="14" t="s">
        <v>47</v>
      </c>
      <c r="L21" s="14">
        <v>10</v>
      </c>
      <c r="M21" s="17">
        <v>0.05</v>
      </c>
      <c r="N21" s="16">
        <v>5000</v>
      </c>
    </row>
    <row r="22" spans="1:14" x14ac:dyDescent="0.3">
      <c r="A22" s="10">
        <v>20</v>
      </c>
      <c r="B22" s="11">
        <v>44356</v>
      </c>
      <c r="C22" s="10" t="s">
        <v>80</v>
      </c>
      <c r="D22" s="10" t="s">
        <v>76</v>
      </c>
      <c r="E22" s="10" t="s">
        <v>50</v>
      </c>
      <c r="F22" s="12">
        <v>35000</v>
      </c>
      <c r="G22" s="10">
        <v>8</v>
      </c>
      <c r="H22" s="12">
        <v>280000</v>
      </c>
      <c r="I22" s="13">
        <v>0.04</v>
      </c>
      <c r="J22" s="12">
        <v>11200</v>
      </c>
      <c r="K22" s="10" t="s">
        <v>56</v>
      </c>
      <c r="L22" s="10">
        <v>0</v>
      </c>
      <c r="M22" s="13">
        <v>0</v>
      </c>
      <c r="N22" s="12">
        <v>5000</v>
      </c>
    </row>
    <row r="23" spans="1:14" x14ac:dyDescent="0.3">
      <c r="A23" s="14">
        <v>21</v>
      </c>
      <c r="B23" s="15">
        <v>44357</v>
      </c>
      <c r="C23" s="14" t="s">
        <v>81</v>
      </c>
      <c r="D23" s="14" t="s">
        <v>49</v>
      </c>
      <c r="E23" s="14" t="s">
        <v>50</v>
      </c>
      <c r="F23" s="16">
        <v>128000</v>
      </c>
      <c r="G23" s="14">
        <v>6</v>
      </c>
      <c r="H23" s="16">
        <v>768000</v>
      </c>
      <c r="I23" s="17">
        <v>0.04</v>
      </c>
      <c r="J23" s="16">
        <v>30720</v>
      </c>
      <c r="K23" s="14" t="s">
        <v>74</v>
      </c>
      <c r="L23" s="14">
        <v>6</v>
      </c>
      <c r="M23" s="17">
        <v>0.05</v>
      </c>
      <c r="N23" s="16">
        <v>7000</v>
      </c>
    </row>
    <row r="24" spans="1:14" x14ac:dyDescent="0.3">
      <c r="A24" s="10">
        <v>22</v>
      </c>
      <c r="B24" s="11">
        <v>44358</v>
      </c>
      <c r="C24" s="10" t="s">
        <v>82</v>
      </c>
      <c r="D24" s="10" t="s">
        <v>79</v>
      </c>
      <c r="E24" s="10" t="s">
        <v>43</v>
      </c>
      <c r="F24" s="12">
        <v>980000</v>
      </c>
      <c r="G24" s="10">
        <v>7</v>
      </c>
      <c r="H24" s="12">
        <v>6860000</v>
      </c>
      <c r="I24" s="13">
        <v>0.02</v>
      </c>
      <c r="J24" s="12">
        <v>137200</v>
      </c>
      <c r="K24" s="10" t="s">
        <v>44</v>
      </c>
      <c r="L24" s="10">
        <v>10</v>
      </c>
      <c r="M24" s="13">
        <v>0.05</v>
      </c>
      <c r="N24" s="12">
        <v>5000</v>
      </c>
    </row>
    <row r="25" spans="1:14" x14ac:dyDescent="0.3">
      <c r="A25" s="14">
        <v>23</v>
      </c>
      <c r="B25" s="15">
        <v>44359</v>
      </c>
      <c r="C25" s="14" t="s">
        <v>83</v>
      </c>
      <c r="D25" s="14" t="s">
        <v>60</v>
      </c>
      <c r="E25" s="14" t="s">
        <v>43</v>
      </c>
      <c r="F25" s="16">
        <v>380000</v>
      </c>
      <c r="G25" s="14">
        <v>5</v>
      </c>
      <c r="H25" s="16">
        <v>1900000</v>
      </c>
      <c r="I25" s="17">
        <v>0.02</v>
      </c>
      <c r="J25" s="16">
        <v>38000</v>
      </c>
      <c r="K25" s="14" t="s">
        <v>74</v>
      </c>
      <c r="L25" s="14">
        <v>6</v>
      </c>
      <c r="M25" s="17">
        <v>0.05</v>
      </c>
      <c r="N25" s="16">
        <v>10000</v>
      </c>
    </row>
    <row r="26" spans="1:14" x14ac:dyDescent="0.3">
      <c r="A26" s="10">
        <v>24</v>
      </c>
      <c r="B26" s="11">
        <v>44360</v>
      </c>
      <c r="C26" s="10" t="s">
        <v>84</v>
      </c>
      <c r="D26" s="10" t="s">
        <v>67</v>
      </c>
      <c r="E26" s="10" t="s">
        <v>50</v>
      </c>
      <c r="F26" s="12">
        <v>125000</v>
      </c>
      <c r="G26" s="10">
        <v>3</v>
      </c>
      <c r="H26" s="12">
        <v>375000</v>
      </c>
      <c r="I26" s="13">
        <v>0.04</v>
      </c>
      <c r="J26" s="12">
        <v>15000</v>
      </c>
      <c r="K26" s="10" t="s">
        <v>44</v>
      </c>
      <c r="L26" s="10">
        <v>6</v>
      </c>
      <c r="M26" s="13">
        <v>0.05</v>
      </c>
      <c r="N26" s="12">
        <v>5000</v>
      </c>
    </row>
    <row r="27" spans="1:14" x14ac:dyDescent="0.3">
      <c r="A27" s="14">
        <v>25</v>
      </c>
      <c r="B27" s="15">
        <v>44361</v>
      </c>
      <c r="C27" s="14" t="s">
        <v>85</v>
      </c>
      <c r="D27" s="14" t="s">
        <v>86</v>
      </c>
      <c r="E27" s="14" t="s">
        <v>63</v>
      </c>
      <c r="F27" s="16">
        <v>65000</v>
      </c>
      <c r="G27" s="14">
        <v>1</v>
      </c>
      <c r="H27" s="16">
        <v>65000</v>
      </c>
      <c r="I27" s="17">
        <v>0.03</v>
      </c>
      <c r="J27" s="16">
        <v>1950</v>
      </c>
      <c r="K27" s="14" t="s">
        <v>47</v>
      </c>
      <c r="L27" s="14">
        <v>3</v>
      </c>
      <c r="M27" s="17">
        <v>0</v>
      </c>
      <c r="N27" s="16">
        <v>0</v>
      </c>
    </row>
    <row r="28" spans="1:14" x14ac:dyDescent="0.3">
      <c r="A28" s="10">
        <v>26</v>
      </c>
      <c r="B28" s="11">
        <v>44362</v>
      </c>
      <c r="C28" s="10" t="s">
        <v>87</v>
      </c>
      <c r="D28" s="10" t="s">
        <v>73</v>
      </c>
      <c r="E28" s="10" t="s">
        <v>50</v>
      </c>
      <c r="F28" s="12">
        <v>60000</v>
      </c>
      <c r="G28" s="10">
        <v>2</v>
      </c>
      <c r="H28" s="12">
        <v>120000</v>
      </c>
      <c r="I28" s="13">
        <v>0.04</v>
      </c>
      <c r="J28" s="12">
        <v>4800</v>
      </c>
      <c r="K28" s="10" t="s">
        <v>44</v>
      </c>
      <c r="L28" s="10">
        <v>3</v>
      </c>
      <c r="M28" s="13">
        <v>0</v>
      </c>
      <c r="N28" s="12">
        <v>7000</v>
      </c>
    </row>
    <row r="29" spans="1:14" x14ac:dyDescent="0.3">
      <c r="A29" s="14">
        <v>27</v>
      </c>
      <c r="B29" s="15">
        <v>44363</v>
      </c>
      <c r="C29" s="14" t="s">
        <v>88</v>
      </c>
      <c r="D29" s="14" t="s">
        <v>76</v>
      </c>
      <c r="E29" s="14" t="s">
        <v>50</v>
      </c>
      <c r="F29" s="16">
        <v>55000</v>
      </c>
      <c r="G29" s="14">
        <v>8</v>
      </c>
      <c r="H29" s="16">
        <v>440000</v>
      </c>
      <c r="I29" s="17">
        <v>0.04</v>
      </c>
      <c r="J29" s="16">
        <v>17600</v>
      </c>
      <c r="K29" s="14" t="s">
        <v>44</v>
      </c>
      <c r="L29" s="14">
        <v>3</v>
      </c>
      <c r="M29" s="17">
        <v>0</v>
      </c>
      <c r="N29" s="16">
        <v>3000</v>
      </c>
    </row>
    <row r="30" spans="1:14" x14ac:dyDescent="0.3">
      <c r="A30" s="10">
        <v>28</v>
      </c>
      <c r="B30" s="11">
        <v>44364</v>
      </c>
      <c r="C30" s="10" t="s">
        <v>89</v>
      </c>
      <c r="D30" s="10" t="s">
        <v>71</v>
      </c>
      <c r="E30" s="10" t="s">
        <v>63</v>
      </c>
      <c r="F30" s="12">
        <v>112000</v>
      </c>
      <c r="G30" s="10">
        <v>12</v>
      </c>
      <c r="H30" s="12">
        <v>1344000</v>
      </c>
      <c r="I30" s="13">
        <v>0.03</v>
      </c>
      <c r="J30" s="12">
        <v>40320</v>
      </c>
      <c r="K30" s="10" t="s">
        <v>56</v>
      </c>
      <c r="L30" s="10">
        <v>0</v>
      </c>
      <c r="M30" s="13">
        <v>0</v>
      </c>
      <c r="N30" s="12">
        <v>0</v>
      </c>
    </row>
    <row r="31" spans="1:14" x14ac:dyDescent="0.3">
      <c r="A31" s="14">
        <v>29</v>
      </c>
      <c r="B31" s="15">
        <v>44365</v>
      </c>
      <c r="C31" s="14" t="s">
        <v>90</v>
      </c>
      <c r="D31" s="14" t="s">
        <v>52</v>
      </c>
      <c r="E31" s="14" t="s">
        <v>50</v>
      </c>
      <c r="F31" s="16">
        <v>100000</v>
      </c>
      <c r="G31" s="14">
        <v>5</v>
      </c>
      <c r="H31" s="16">
        <v>500000</v>
      </c>
      <c r="I31" s="17">
        <v>0.04</v>
      </c>
      <c r="J31" s="16">
        <v>20000</v>
      </c>
      <c r="K31" s="14" t="s">
        <v>44</v>
      </c>
      <c r="L31" s="14">
        <v>6</v>
      </c>
      <c r="M31" s="17">
        <v>0.05</v>
      </c>
      <c r="N31" s="16">
        <v>5000</v>
      </c>
    </row>
    <row r="32" spans="1:14" x14ac:dyDescent="0.3">
      <c r="A32" s="10">
        <v>30</v>
      </c>
      <c r="B32" s="11">
        <v>44366</v>
      </c>
      <c r="C32" s="10" t="s">
        <v>91</v>
      </c>
      <c r="D32" s="10" t="s">
        <v>49</v>
      </c>
      <c r="E32" s="10" t="s">
        <v>50</v>
      </c>
      <c r="F32" s="12">
        <v>100000</v>
      </c>
      <c r="G32" s="10">
        <v>15</v>
      </c>
      <c r="H32" s="12">
        <v>1500000</v>
      </c>
      <c r="I32" s="13">
        <v>0.04</v>
      </c>
      <c r="J32" s="12">
        <v>60000</v>
      </c>
      <c r="K32" s="10" t="s">
        <v>74</v>
      </c>
      <c r="L32" s="10">
        <v>6</v>
      </c>
      <c r="M32" s="13">
        <v>0.05</v>
      </c>
      <c r="N32" s="12">
        <v>10000</v>
      </c>
    </row>
    <row r="33" spans="1:14" x14ac:dyDescent="0.3">
      <c r="A33" s="14">
        <v>31</v>
      </c>
      <c r="B33" s="15">
        <v>44395</v>
      </c>
      <c r="C33" s="14" t="s">
        <v>92</v>
      </c>
      <c r="D33" s="14" t="s">
        <v>55</v>
      </c>
      <c r="E33" s="14" t="s">
        <v>43</v>
      </c>
      <c r="F33" s="16">
        <v>98000</v>
      </c>
      <c r="G33" s="14">
        <v>1</v>
      </c>
      <c r="H33" s="16">
        <v>98000</v>
      </c>
      <c r="I33" s="17">
        <v>0.02</v>
      </c>
      <c r="J33" s="16">
        <v>1960</v>
      </c>
      <c r="K33" s="14" t="s">
        <v>47</v>
      </c>
      <c r="L33" s="14">
        <v>3</v>
      </c>
      <c r="M33" s="17">
        <v>0</v>
      </c>
      <c r="N33" s="16">
        <v>5000</v>
      </c>
    </row>
    <row r="34" spans="1:14" x14ac:dyDescent="0.3">
      <c r="A34" s="10">
        <v>32</v>
      </c>
      <c r="B34" s="11">
        <v>44396</v>
      </c>
      <c r="C34" s="10" t="s">
        <v>93</v>
      </c>
      <c r="D34" s="10" t="s">
        <v>71</v>
      </c>
      <c r="E34" s="10" t="s">
        <v>63</v>
      </c>
      <c r="F34" s="12">
        <v>125800</v>
      </c>
      <c r="G34" s="10">
        <v>8</v>
      </c>
      <c r="H34" s="12">
        <v>1006400</v>
      </c>
      <c r="I34" s="13">
        <v>0.03</v>
      </c>
      <c r="J34" s="12">
        <v>30192</v>
      </c>
      <c r="K34" s="10" t="s">
        <v>47</v>
      </c>
      <c r="L34" s="10">
        <v>6</v>
      </c>
      <c r="M34" s="13">
        <v>0.05</v>
      </c>
      <c r="N34" s="12">
        <v>0</v>
      </c>
    </row>
    <row r="35" spans="1:14" x14ac:dyDescent="0.3">
      <c r="A35" s="14">
        <v>33</v>
      </c>
      <c r="B35" s="15">
        <v>44397</v>
      </c>
      <c r="C35" s="14" t="s">
        <v>94</v>
      </c>
      <c r="D35" s="14" t="s">
        <v>42</v>
      </c>
      <c r="E35" s="14" t="s">
        <v>43</v>
      </c>
      <c r="F35" s="16">
        <v>900000</v>
      </c>
      <c r="G35" s="14">
        <v>6</v>
      </c>
      <c r="H35" s="16">
        <v>5400000</v>
      </c>
      <c r="I35" s="17">
        <v>0.02</v>
      </c>
      <c r="J35" s="16">
        <v>108000</v>
      </c>
      <c r="K35" s="14" t="s">
        <v>74</v>
      </c>
      <c r="L35" s="14">
        <v>10</v>
      </c>
      <c r="M35" s="17">
        <v>0.05</v>
      </c>
      <c r="N35" s="16">
        <v>10000</v>
      </c>
    </row>
    <row r="36" spans="1:14" x14ac:dyDescent="0.3">
      <c r="A36" s="10">
        <v>34</v>
      </c>
      <c r="B36" s="11">
        <v>44398</v>
      </c>
      <c r="C36" s="10" t="s">
        <v>95</v>
      </c>
      <c r="D36" s="10" t="s">
        <v>79</v>
      </c>
      <c r="E36" s="10" t="s">
        <v>43</v>
      </c>
      <c r="F36" s="12">
        <v>850000</v>
      </c>
      <c r="G36" s="10">
        <v>7</v>
      </c>
      <c r="H36" s="12">
        <v>5950000</v>
      </c>
      <c r="I36" s="13">
        <v>0.02</v>
      </c>
      <c r="J36" s="12">
        <v>119000</v>
      </c>
      <c r="K36" s="10" t="s">
        <v>47</v>
      </c>
      <c r="L36" s="10">
        <v>10</v>
      </c>
      <c r="M36" s="13">
        <v>0.05</v>
      </c>
      <c r="N36" s="12">
        <v>5000</v>
      </c>
    </row>
    <row r="37" spans="1:14" x14ac:dyDescent="0.3">
      <c r="A37" s="14">
        <v>35</v>
      </c>
      <c r="B37" s="15">
        <v>44399</v>
      </c>
      <c r="C37" s="14" t="s">
        <v>96</v>
      </c>
      <c r="D37" s="14" t="s">
        <v>49</v>
      </c>
      <c r="E37" s="14" t="s">
        <v>50</v>
      </c>
      <c r="F37" s="16">
        <v>98000</v>
      </c>
      <c r="G37" s="14">
        <v>26</v>
      </c>
      <c r="H37" s="16">
        <v>2548000</v>
      </c>
      <c r="I37" s="17">
        <v>0.04</v>
      </c>
      <c r="J37" s="16">
        <v>101920</v>
      </c>
      <c r="K37" s="14" t="s">
        <v>74</v>
      </c>
      <c r="L37" s="14">
        <v>3</v>
      </c>
      <c r="M37" s="17">
        <v>0</v>
      </c>
      <c r="N37" s="16">
        <v>10000</v>
      </c>
    </row>
    <row r="38" spans="1:14" x14ac:dyDescent="0.3">
      <c r="A38" s="10">
        <v>36</v>
      </c>
      <c r="B38" s="11">
        <v>44400</v>
      </c>
      <c r="C38" s="10" t="s">
        <v>97</v>
      </c>
      <c r="D38" s="10" t="s">
        <v>58</v>
      </c>
      <c r="E38" s="10" t="s">
        <v>50</v>
      </c>
      <c r="F38" s="12">
        <v>92000</v>
      </c>
      <c r="G38" s="10">
        <v>20</v>
      </c>
      <c r="H38" s="12">
        <v>1840000</v>
      </c>
      <c r="I38" s="13">
        <v>0.04</v>
      </c>
      <c r="J38" s="12">
        <v>73600</v>
      </c>
      <c r="K38" s="10" t="s">
        <v>47</v>
      </c>
      <c r="L38" s="10">
        <v>3</v>
      </c>
      <c r="M38" s="13">
        <v>0</v>
      </c>
      <c r="N38" s="12">
        <v>15000</v>
      </c>
    </row>
    <row r="39" spans="1:14" x14ac:dyDescent="0.3">
      <c r="A39" s="14">
        <v>37</v>
      </c>
      <c r="B39" s="15">
        <v>44401</v>
      </c>
      <c r="C39" s="14" t="s">
        <v>98</v>
      </c>
      <c r="D39" s="14" t="s">
        <v>73</v>
      </c>
      <c r="E39" s="14" t="s">
        <v>50</v>
      </c>
      <c r="F39" s="16">
        <v>30000</v>
      </c>
      <c r="G39" s="14">
        <v>8</v>
      </c>
      <c r="H39" s="16">
        <v>240000</v>
      </c>
      <c r="I39" s="17">
        <v>0.04</v>
      </c>
      <c r="J39" s="16">
        <v>9600</v>
      </c>
      <c r="K39" s="14" t="s">
        <v>56</v>
      </c>
      <c r="L39" s="14">
        <v>0</v>
      </c>
      <c r="M39" s="17">
        <v>0</v>
      </c>
      <c r="N39" s="16">
        <v>7000</v>
      </c>
    </row>
    <row r="40" spans="1:14" x14ac:dyDescent="0.3">
      <c r="A40" s="10">
        <v>38</v>
      </c>
      <c r="B40" s="11">
        <v>44402</v>
      </c>
      <c r="C40" s="10" t="s">
        <v>99</v>
      </c>
      <c r="D40" s="10" t="s">
        <v>58</v>
      </c>
      <c r="E40" s="10" t="s">
        <v>50</v>
      </c>
      <c r="F40" s="12">
        <v>90000</v>
      </c>
      <c r="G40" s="10">
        <v>3</v>
      </c>
      <c r="H40" s="12">
        <v>270000</v>
      </c>
      <c r="I40" s="13">
        <v>0.04</v>
      </c>
      <c r="J40" s="12">
        <v>10800</v>
      </c>
      <c r="K40" s="10" t="s">
        <v>47</v>
      </c>
      <c r="L40" s="10">
        <v>3</v>
      </c>
      <c r="M40" s="13">
        <v>0</v>
      </c>
      <c r="N40" s="12">
        <v>7000</v>
      </c>
    </row>
    <row r="41" spans="1:14" x14ac:dyDescent="0.3">
      <c r="A41" s="14">
        <v>39</v>
      </c>
      <c r="B41" s="15">
        <v>44403</v>
      </c>
      <c r="C41" s="14" t="s">
        <v>100</v>
      </c>
      <c r="D41" s="14" t="s">
        <v>58</v>
      </c>
      <c r="E41" s="14" t="s">
        <v>50</v>
      </c>
      <c r="F41" s="16">
        <v>80000</v>
      </c>
      <c r="G41" s="14">
        <v>7</v>
      </c>
      <c r="H41" s="16">
        <v>560000</v>
      </c>
      <c r="I41" s="17">
        <v>0.04</v>
      </c>
      <c r="J41" s="16">
        <v>22400</v>
      </c>
      <c r="K41" s="14" t="s">
        <v>44</v>
      </c>
      <c r="L41" s="14">
        <v>3</v>
      </c>
      <c r="M41" s="17">
        <v>0</v>
      </c>
      <c r="N41" s="16">
        <v>10000</v>
      </c>
    </row>
    <row r="42" spans="1:14" x14ac:dyDescent="0.3">
      <c r="A42" s="10">
        <v>40</v>
      </c>
      <c r="B42" s="11">
        <v>44404</v>
      </c>
      <c r="C42" s="10" t="s">
        <v>101</v>
      </c>
      <c r="D42" s="10" t="s">
        <v>73</v>
      </c>
      <c r="E42" s="10" t="s">
        <v>50</v>
      </c>
      <c r="F42" s="12">
        <v>70000</v>
      </c>
      <c r="G42" s="10">
        <v>5</v>
      </c>
      <c r="H42" s="12">
        <v>350000</v>
      </c>
      <c r="I42" s="13">
        <v>0.04</v>
      </c>
      <c r="J42" s="12">
        <v>14000</v>
      </c>
      <c r="K42" s="10" t="s">
        <v>44</v>
      </c>
      <c r="L42" s="10">
        <v>3</v>
      </c>
      <c r="M42" s="13">
        <v>0</v>
      </c>
      <c r="N42" s="12">
        <v>7000</v>
      </c>
    </row>
    <row r="43" spans="1:14" x14ac:dyDescent="0.3">
      <c r="A43" s="14">
        <v>41</v>
      </c>
      <c r="B43" s="15">
        <v>44405</v>
      </c>
      <c r="C43" s="14" t="s">
        <v>102</v>
      </c>
      <c r="D43" s="14" t="s">
        <v>86</v>
      </c>
      <c r="E43" s="14" t="s">
        <v>63</v>
      </c>
      <c r="F43" s="16">
        <v>70000</v>
      </c>
      <c r="G43" s="14">
        <v>9</v>
      </c>
      <c r="H43" s="16">
        <v>630000</v>
      </c>
      <c r="I43" s="17">
        <v>0.03</v>
      </c>
      <c r="J43" s="16">
        <v>18900</v>
      </c>
      <c r="K43" s="14" t="s">
        <v>47</v>
      </c>
      <c r="L43" s="14">
        <v>3</v>
      </c>
      <c r="M43" s="17">
        <v>0</v>
      </c>
      <c r="N43" s="16">
        <v>0</v>
      </c>
    </row>
    <row r="44" spans="1:14" x14ac:dyDescent="0.3">
      <c r="A44" s="10">
        <v>42</v>
      </c>
      <c r="B44" s="11">
        <v>44406</v>
      </c>
      <c r="C44" s="10" t="s">
        <v>103</v>
      </c>
      <c r="D44" s="10" t="s">
        <v>76</v>
      </c>
      <c r="E44" s="10" t="s">
        <v>50</v>
      </c>
      <c r="F44" s="12">
        <v>50000</v>
      </c>
      <c r="G44" s="10">
        <v>2</v>
      </c>
      <c r="H44" s="12">
        <v>100000</v>
      </c>
      <c r="I44" s="13">
        <v>0.04</v>
      </c>
      <c r="J44" s="12">
        <v>4000</v>
      </c>
      <c r="K44" s="10" t="s">
        <v>56</v>
      </c>
      <c r="L44" s="10">
        <v>0</v>
      </c>
      <c r="M44" s="13">
        <v>0</v>
      </c>
      <c r="N44" s="12">
        <v>3000</v>
      </c>
    </row>
    <row r="45" spans="1:14" x14ac:dyDescent="0.3">
      <c r="A45" s="14">
        <v>43</v>
      </c>
      <c r="B45" s="15">
        <v>44407</v>
      </c>
      <c r="C45" s="14" t="s">
        <v>104</v>
      </c>
      <c r="D45" s="14" t="s">
        <v>73</v>
      </c>
      <c r="E45" s="14" t="s">
        <v>50</v>
      </c>
      <c r="F45" s="16">
        <v>50000</v>
      </c>
      <c r="G45" s="14">
        <v>8</v>
      </c>
      <c r="H45" s="16">
        <v>400000</v>
      </c>
      <c r="I45" s="17">
        <v>0.04</v>
      </c>
      <c r="J45" s="16">
        <v>16000</v>
      </c>
      <c r="K45" s="14" t="s">
        <v>44</v>
      </c>
      <c r="L45" s="14">
        <v>3</v>
      </c>
      <c r="M45" s="17">
        <v>0</v>
      </c>
      <c r="N45" s="16">
        <v>7000</v>
      </c>
    </row>
    <row r="46" spans="1:14" x14ac:dyDescent="0.3">
      <c r="A46" s="10">
        <v>44</v>
      </c>
      <c r="B46" s="11">
        <v>44408</v>
      </c>
      <c r="C46" s="10" t="s">
        <v>105</v>
      </c>
      <c r="D46" s="10" t="s">
        <v>79</v>
      </c>
      <c r="E46" s="10" t="s">
        <v>43</v>
      </c>
      <c r="F46" s="12">
        <v>1200000</v>
      </c>
      <c r="G46" s="10">
        <v>6</v>
      </c>
      <c r="H46" s="12">
        <v>7200000</v>
      </c>
      <c r="I46" s="13">
        <v>0.03</v>
      </c>
      <c r="J46" s="12">
        <v>324000</v>
      </c>
      <c r="K46" s="10" t="s">
        <v>44</v>
      </c>
      <c r="L46" s="10">
        <v>12</v>
      </c>
      <c r="M46" s="13">
        <v>0.05</v>
      </c>
      <c r="N46" s="12">
        <v>7000</v>
      </c>
    </row>
    <row r="47" spans="1:14" x14ac:dyDescent="0.3">
      <c r="A47" s="14">
        <v>45</v>
      </c>
      <c r="B47" s="15">
        <v>44409</v>
      </c>
      <c r="C47" s="14" t="s">
        <v>106</v>
      </c>
      <c r="D47" s="14" t="s">
        <v>79</v>
      </c>
      <c r="E47" s="14" t="s">
        <v>43</v>
      </c>
      <c r="F47" s="16">
        <v>760000</v>
      </c>
      <c r="G47" s="14">
        <v>5</v>
      </c>
      <c r="H47" s="16">
        <v>3800000</v>
      </c>
      <c r="I47" s="17">
        <v>0.02</v>
      </c>
      <c r="J47" s="16">
        <v>76000</v>
      </c>
      <c r="K47" s="14" t="s">
        <v>44</v>
      </c>
      <c r="L47" s="14">
        <v>10</v>
      </c>
      <c r="M47" s="17">
        <v>0.05</v>
      </c>
      <c r="N47" s="16">
        <v>5000</v>
      </c>
    </row>
    <row r="48" spans="1:14" x14ac:dyDescent="0.3">
      <c r="A48" s="10">
        <v>46</v>
      </c>
      <c r="B48" s="11">
        <v>44410</v>
      </c>
      <c r="C48" s="10" t="s">
        <v>107</v>
      </c>
      <c r="D48" s="10" t="s">
        <v>67</v>
      </c>
      <c r="E48" s="10" t="s">
        <v>50</v>
      </c>
      <c r="F48" s="12">
        <v>119000</v>
      </c>
      <c r="G48" s="10">
        <v>2</v>
      </c>
      <c r="H48" s="12">
        <v>238000</v>
      </c>
      <c r="I48" s="13">
        <v>0.04</v>
      </c>
      <c r="J48" s="12">
        <v>9520</v>
      </c>
      <c r="K48" s="10" t="s">
        <v>44</v>
      </c>
      <c r="L48" s="10">
        <v>6</v>
      </c>
      <c r="M48" s="13">
        <v>0.05</v>
      </c>
      <c r="N48" s="12">
        <v>3000</v>
      </c>
    </row>
    <row r="49" spans="1:14" x14ac:dyDescent="0.3">
      <c r="A49" s="14">
        <v>47</v>
      </c>
      <c r="B49" s="15">
        <v>44411</v>
      </c>
      <c r="C49" s="14" t="s">
        <v>108</v>
      </c>
      <c r="D49" s="14" t="s">
        <v>109</v>
      </c>
      <c r="E49" s="14" t="s">
        <v>43</v>
      </c>
      <c r="F49" s="16">
        <v>50000</v>
      </c>
      <c r="G49" s="14">
        <v>4</v>
      </c>
      <c r="H49" s="16">
        <v>200000</v>
      </c>
      <c r="I49" s="17">
        <v>0.02</v>
      </c>
      <c r="J49" s="16">
        <v>1000</v>
      </c>
      <c r="K49" s="14" t="s">
        <v>44</v>
      </c>
      <c r="L49" s="14">
        <v>3</v>
      </c>
      <c r="M49" s="17">
        <v>0</v>
      </c>
      <c r="N49" s="16">
        <v>5000</v>
      </c>
    </row>
    <row r="50" spans="1:14" x14ac:dyDescent="0.3">
      <c r="A50" s="10">
        <v>48</v>
      </c>
      <c r="B50" s="11">
        <v>44412</v>
      </c>
      <c r="C50" s="10" t="s">
        <v>110</v>
      </c>
      <c r="D50" s="10" t="s">
        <v>109</v>
      </c>
      <c r="E50" s="10" t="s">
        <v>43</v>
      </c>
      <c r="F50" s="12">
        <v>49000</v>
      </c>
      <c r="G50" s="10">
        <v>20</v>
      </c>
      <c r="H50" s="12">
        <v>980000</v>
      </c>
      <c r="I50" s="13">
        <v>0.02</v>
      </c>
      <c r="J50" s="12">
        <v>19600</v>
      </c>
      <c r="K50" s="10" t="s">
        <v>47</v>
      </c>
      <c r="L50" s="10">
        <v>0</v>
      </c>
      <c r="M50" s="13">
        <v>0.03</v>
      </c>
      <c r="N50" s="12">
        <v>5000</v>
      </c>
    </row>
    <row r="51" spans="1:14" x14ac:dyDescent="0.3">
      <c r="A51" s="18">
        <v>49</v>
      </c>
      <c r="B51" s="19">
        <v>44413</v>
      </c>
      <c r="C51" s="18" t="s">
        <v>111</v>
      </c>
      <c r="D51" s="18" t="s">
        <v>76</v>
      </c>
      <c r="E51" s="18" t="s">
        <v>50</v>
      </c>
      <c r="F51" s="20">
        <v>45000</v>
      </c>
      <c r="G51" s="18">
        <v>8</v>
      </c>
      <c r="H51" s="20">
        <v>360000</v>
      </c>
      <c r="I51" s="21">
        <v>0.04</v>
      </c>
      <c r="J51" s="20">
        <v>14400</v>
      </c>
      <c r="K51" s="18" t="s">
        <v>74</v>
      </c>
      <c r="L51" s="18">
        <v>0</v>
      </c>
      <c r="M51" s="21">
        <v>0.03</v>
      </c>
      <c r="N51" s="20">
        <v>3000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32EA-0BF4-4479-96BF-2AAAC6221D87}">
  <sheetPr codeName="Sheet4"/>
  <dimension ref="A1:K47"/>
  <sheetViews>
    <sheetView workbookViewId="0"/>
  </sheetViews>
  <sheetFormatPr defaultRowHeight="16.5" x14ac:dyDescent="0.3"/>
  <cols>
    <col min="1" max="1" width="9.625" customWidth="1"/>
    <col min="2" max="2" width="12.25" customWidth="1"/>
    <col min="3" max="3" width="10.25" bestFit="1" customWidth="1"/>
    <col min="4" max="4" width="11.875" bestFit="1" customWidth="1"/>
    <col min="5" max="5" width="12.375" bestFit="1" customWidth="1"/>
    <col min="6" max="6" width="11.75" bestFit="1" customWidth="1"/>
    <col min="7" max="8" width="9" bestFit="1" customWidth="1"/>
    <col min="9" max="9" width="11" bestFit="1" customWidth="1"/>
    <col min="10" max="10" width="8.875" bestFit="1" customWidth="1"/>
    <col min="11" max="11" width="2.375" customWidth="1"/>
  </cols>
  <sheetData>
    <row r="1" spans="1:11" x14ac:dyDescent="0.3">
      <c r="A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</row>
    <row r="2" spans="1:11" x14ac:dyDescent="0.3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3" t="s">
        <v>6</v>
      </c>
      <c r="G2" s="23" t="s">
        <v>7</v>
      </c>
      <c r="H2" s="23" t="s">
        <v>115</v>
      </c>
      <c r="I2" s="24" t="s">
        <v>8</v>
      </c>
      <c r="J2" s="24" t="s">
        <v>116</v>
      </c>
      <c r="K2" s="22"/>
    </row>
    <row r="3" spans="1:11" x14ac:dyDescent="0.3">
      <c r="A3" s="23" t="s">
        <v>9</v>
      </c>
      <c r="B3" s="23" t="s">
        <v>10</v>
      </c>
      <c r="C3" s="23" t="s">
        <v>11</v>
      </c>
      <c r="D3" s="25">
        <v>53000000</v>
      </c>
      <c r="E3" s="23">
        <v>3811</v>
      </c>
      <c r="F3" s="23" t="s">
        <v>12</v>
      </c>
      <c r="G3" s="23" t="s">
        <v>13</v>
      </c>
      <c r="H3" s="26" t="s">
        <v>112</v>
      </c>
      <c r="I3" s="25"/>
      <c r="J3" s="23"/>
      <c r="K3" s="27"/>
    </row>
    <row r="4" spans="1:11" x14ac:dyDescent="0.3">
      <c r="A4" s="23" t="s">
        <v>14</v>
      </c>
      <c r="B4" s="23" t="s">
        <v>15</v>
      </c>
      <c r="C4" s="23" t="s">
        <v>11</v>
      </c>
      <c r="D4" s="25">
        <v>32000000</v>
      </c>
      <c r="E4" s="23">
        <v>2403</v>
      </c>
      <c r="F4" s="23" t="s">
        <v>12</v>
      </c>
      <c r="G4" s="23" t="s">
        <v>16</v>
      </c>
      <c r="H4" s="26" t="s">
        <v>113</v>
      </c>
      <c r="I4" s="25"/>
      <c r="J4" s="23"/>
      <c r="K4" s="22"/>
    </row>
    <row r="5" spans="1:11" x14ac:dyDescent="0.3">
      <c r="A5" s="23" t="s">
        <v>17</v>
      </c>
      <c r="B5" s="23" t="s">
        <v>15</v>
      </c>
      <c r="C5" s="23" t="s">
        <v>11</v>
      </c>
      <c r="D5" s="25">
        <v>22000000</v>
      </c>
      <c r="E5" s="23">
        <v>2006</v>
      </c>
      <c r="F5" s="23" t="s">
        <v>18</v>
      </c>
      <c r="G5" s="23" t="s">
        <v>19</v>
      </c>
      <c r="H5" s="26" t="s">
        <v>113</v>
      </c>
      <c r="I5" s="25"/>
      <c r="J5" s="23"/>
      <c r="K5" s="22"/>
    </row>
    <row r="6" spans="1:11" x14ac:dyDescent="0.3">
      <c r="A6" s="23" t="s">
        <v>17</v>
      </c>
      <c r="B6" s="23" t="s">
        <v>10</v>
      </c>
      <c r="C6" s="23" t="s">
        <v>20</v>
      </c>
      <c r="D6" s="25">
        <v>34000000</v>
      </c>
      <c r="E6" s="23">
        <v>1892</v>
      </c>
      <c r="F6" s="23" t="s">
        <v>18</v>
      </c>
      <c r="G6" s="23" t="s">
        <v>19</v>
      </c>
      <c r="H6" s="26" t="s">
        <v>114</v>
      </c>
      <c r="I6" s="25"/>
      <c r="J6" s="23"/>
      <c r="K6" s="22"/>
    </row>
    <row r="7" spans="1:11" x14ac:dyDescent="0.3">
      <c r="A7" s="23" t="s">
        <v>21</v>
      </c>
      <c r="B7" s="23" t="s">
        <v>22</v>
      </c>
      <c r="C7" s="23" t="s">
        <v>20</v>
      </c>
      <c r="D7" s="25">
        <v>28000000</v>
      </c>
      <c r="E7" s="23">
        <v>1801</v>
      </c>
      <c r="F7" s="23" t="s">
        <v>23</v>
      </c>
      <c r="G7" s="23" t="s">
        <v>19</v>
      </c>
      <c r="H7" s="26" t="s">
        <v>114</v>
      </c>
      <c r="I7" s="25"/>
      <c r="J7" s="23"/>
      <c r="K7" s="22"/>
    </row>
    <row r="8" spans="1:11" x14ac:dyDescent="0.3">
      <c r="A8" s="23" t="s">
        <v>24</v>
      </c>
      <c r="B8" s="23" t="s">
        <v>10</v>
      </c>
      <c r="C8" s="23" t="s">
        <v>20</v>
      </c>
      <c r="D8" s="25">
        <v>46000000</v>
      </c>
      <c r="E8" s="23">
        <v>1915</v>
      </c>
      <c r="F8" s="23" t="s">
        <v>23</v>
      </c>
      <c r="G8" s="23" t="s">
        <v>16</v>
      </c>
      <c r="H8" s="26" t="s">
        <v>113</v>
      </c>
      <c r="I8" s="25"/>
      <c r="J8" s="23"/>
      <c r="K8" s="22"/>
    </row>
    <row r="9" spans="1:11" x14ac:dyDescent="0.3">
      <c r="A9" s="23" t="s">
        <v>24</v>
      </c>
      <c r="B9" s="23" t="s">
        <v>15</v>
      </c>
      <c r="C9" s="23" t="s">
        <v>20</v>
      </c>
      <c r="D9" s="25">
        <v>54000000</v>
      </c>
      <c r="E9" s="23">
        <v>2800</v>
      </c>
      <c r="F9" s="23" t="s">
        <v>25</v>
      </c>
      <c r="G9" s="23" t="s">
        <v>19</v>
      </c>
      <c r="H9" s="26" t="s">
        <v>113</v>
      </c>
      <c r="I9" s="25"/>
      <c r="J9" s="23"/>
      <c r="K9" s="22"/>
    </row>
    <row r="10" spans="1:11" x14ac:dyDescent="0.3">
      <c r="A10" s="23" t="s">
        <v>21</v>
      </c>
      <c r="B10" s="23" t="s">
        <v>26</v>
      </c>
      <c r="C10" s="23" t="s">
        <v>11</v>
      </c>
      <c r="D10" s="25">
        <v>32000000</v>
      </c>
      <c r="E10" s="23">
        <v>3701</v>
      </c>
      <c r="F10" s="23" t="s">
        <v>18</v>
      </c>
      <c r="G10" s="23" t="s">
        <v>19</v>
      </c>
      <c r="H10" s="26" t="s">
        <v>114</v>
      </c>
      <c r="I10" s="25"/>
      <c r="J10" s="23"/>
      <c r="K10" s="22"/>
    </row>
    <row r="11" spans="1:11" x14ac:dyDescent="0.3">
      <c r="A11" s="23" t="s">
        <v>9</v>
      </c>
      <c r="B11" s="23" t="s">
        <v>26</v>
      </c>
      <c r="C11" s="23" t="s">
        <v>20</v>
      </c>
      <c r="D11" s="25">
        <v>44000000</v>
      </c>
      <c r="E11" s="23">
        <v>4287</v>
      </c>
      <c r="F11" s="23" t="s">
        <v>25</v>
      </c>
      <c r="G11" s="23" t="s">
        <v>19</v>
      </c>
      <c r="H11" s="26" t="s">
        <v>113</v>
      </c>
      <c r="I11" s="25"/>
      <c r="J11" s="23"/>
      <c r="K11" s="22"/>
    </row>
    <row r="12" spans="1:11" x14ac:dyDescent="0.3">
      <c r="A12" s="23" t="s">
        <v>14</v>
      </c>
      <c r="B12" s="23" t="s">
        <v>10</v>
      </c>
      <c r="C12" s="23" t="s">
        <v>11</v>
      </c>
      <c r="D12" s="25">
        <v>24000000</v>
      </c>
      <c r="E12" s="23">
        <v>4480</v>
      </c>
      <c r="F12" s="23" t="s">
        <v>25</v>
      </c>
      <c r="G12" s="23" t="s">
        <v>16</v>
      </c>
      <c r="H12" s="26" t="s">
        <v>113</v>
      </c>
      <c r="I12" s="25"/>
      <c r="J12" s="23"/>
      <c r="K12" s="22"/>
    </row>
    <row r="13" spans="1:11" x14ac:dyDescent="0.3">
      <c r="A13" s="23" t="s">
        <v>17</v>
      </c>
      <c r="B13" s="23" t="s">
        <v>10</v>
      </c>
      <c r="C13" s="23" t="s">
        <v>20</v>
      </c>
      <c r="D13" s="25">
        <v>45000000</v>
      </c>
      <c r="E13" s="23">
        <v>4126</v>
      </c>
      <c r="F13" s="23" t="s">
        <v>23</v>
      </c>
      <c r="G13" s="23" t="s">
        <v>13</v>
      </c>
      <c r="H13" s="26" t="s">
        <v>113</v>
      </c>
      <c r="I13" s="25"/>
      <c r="J13" s="23"/>
      <c r="K13" s="22"/>
    </row>
    <row r="14" spans="1:11" x14ac:dyDescent="0.3">
      <c r="A14" s="23" t="s">
        <v>21</v>
      </c>
      <c r="B14" s="23" t="s">
        <v>15</v>
      </c>
      <c r="C14" s="23" t="s">
        <v>20</v>
      </c>
      <c r="D14" s="25">
        <v>38000000</v>
      </c>
      <c r="E14" s="23">
        <v>2350</v>
      </c>
      <c r="F14" s="23" t="s">
        <v>23</v>
      </c>
      <c r="G14" s="23" t="s">
        <v>16</v>
      </c>
      <c r="H14" s="26" t="s">
        <v>113</v>
      </c>
      <c r="I14" s="25"/>
      <c r="J14" s="23"/>
      <c r="K14" s="22"/>
    </row>
    <row r="15" spans="1:11" x14ac:dyDescent="0.3">
      <c r="A15" s="23" t="s">
        <v>21</v>
      </c>
      <c r="B15" s="23" t="s">
        <v>26</v>
      </c>
      <c r="C15" s="23" t="s">
        <v>20</v>
      </c>
      <c r="D15" s="25">
        <v>57000000</v>
      </c>
      <c r="E15" s="23">
        <v>4007</v>
      </c>
      <c r="F15" s="23" t="s">
        <v>23</v>
      </c>
      <c r="G15" s="23" t="s">
        <v>16</v>
      </c>
      <c r="H15" s="26" t="s">
        <v>112</v>
      </c>
      <c r="I15" s="25"/>
      <c r="J15" s="23"/>
      <c r="K15" s="22"/>
    </row>
    <row r="16" spans="1:11" x14ac:dyDescent="0.3">
      <c r="A16" s="23" t="s">
        <v>17</v>
      </c>
      <c r="B16" s="23" t="s">
        <v>15</v>
      </c>
      <c r="C16" s="23" t="s">
        <v>11</v>
      </c>
      <c r="D16" s="25">
        <v>58000000</v>
      </c>
      <c r="E16" s="23">
        <v>4204</v>
      </c>
      <c r="F16" s="23" t="s">
        <v>25</v>
      </c>
      <c r="G16" s="23" t="s">
        <v>13</v>
      </c>
      <c r="H16" s="26" t="s">
        <v>112</v>
      </c>
      <c r="I16" s="25"/>
      <c r="J16" s="23"/>
      <c r="K16" s="22"/>
    </row>
    <row r="17" spans="1:11" x14ac:dyDescent="0.3">
      <c r="A17" s="23" t="s">
        <v>9</v>
      </c>
      <c r="B17" s="23" t="s">
        <v>26</v>
      </c>
      <c r="C17" s="23" t="s">
        <v>20</v>
      </c>
      <c r="D17" s="25">
        <v>53000000</v>
      </c>
      <c r="E17" s="23">
        <v>2456</v>
      </c>
      <c r="F17" s="23" t="s">
        <v>18</v>
      </c>
      <c r="G17" s="23" t="s">
        <v>19</v>
      </c>
      <c r="H17" s="26" t="s">
        <v>112</v>
      </c>
      <c r="I17" s="25"/>
      <c r="J17" s="23"/>
      <c r="K17" s="22"/>
    </row>
    <row r="18" spans="1:11" x14ac:dyDescent="0.3">
      <c r="A18" s="23" t="s">
        <v>14</v>
      </c>
      <c r="B18" s="23" t="s">
        <v>10</v>
      </c>
      <c r="C18" s="23" t="s">
        <v>20</v>
      </c>
      <c r="D18" s="25">
        <v>39000000</v>
      </c>
      <c r="E18" s="23">
        <v>3541</v>
      </c>
      <c r="F18" s="23" t="s">
        <v>23</v>
      </c>
      <c r="G18" s="23" t="s">
        <v>19</v>
      </c>
      <c r="H18" s="26" t="s">
        <v>114</v>
      </c>
      <c r="I18" s="25"/>
      <c r="J18" s="23"/>
      <c r="K18" s="22"/>
    </row>
    <row r="19" spans="1:11" x14ac:dyDescent="0.3">
      <c r="A19" s="23" t="s">
        <v>17</v>
      </c>
      <c r="B19" s="23" t="s">
        <v>26</v>
      </c>
      <c r="C19" s="23" t="s">
        <v>11</v>
      </c>
      <c r="D19" s="25">
        <v>34000000</v>
      </c>
      <c r="E19" s="23">
        <v>2496</v>
      </c>
      <c r="F19" s="23" t="s">
        <v>23</v>
      </c>
      <c r="G19" s="23" t="s">
        <v>13</v>
      </c>
      <c r="H19" s="26" t="s">
        <v>113</v>
      </c>
      <c r="I19" s="25"/>
      <c r="J19" s="23"/>
      <c r="K19" s="22"/>
    </row>
    <row r="20" spans="1:11" x14ac:dyDescent="0.3">
      <c r="A20" s="23" t="s">
        <v>9</v>
      </c>
      <c r="B20" s="23" t="s">
        <v>22</v>
      </c>
      <c r="C20" s="23" t="s">
        <v>20</v>
      </c>
      <c r="D20" s="25">
        <v>32000000</v>
      </c>
      <c r="E20" s="23">
        <v>3749</v>
      </c>
      <c r="F20" s="23" t="s">
        <v>25</v>
      </c>
      <c r="G20" s="23" t="s">
        <v>16</v>
      </c>
      <c r="H20" s="26" t="s">
        <v>114</v>
      </c>
      <c r="I20" s="25"/>
      <c r="J20" s="23"/>
      <c r="K20" s="22"/>
    </row>
    <row r="21" spans="1:11" x14ac:dyDescent="0.3">
      <c r="A21" s="23" t="s">
        <v>17</v>
      </c>
      <c r="B21" s="23" t="s">
        <v>15</v>
      </c>
      <c r="C21" s="23" t="s">
        <v>11</v>
      </c>
      <c r="D21" s="25">
        <v>31000000</v>
      </c>
      <c r="E21" s="23">
        <v>3016</v>
      </c>
      <c r="F21" s="23" t="s">
        <v>23</v>
      </c>
      <c r="G21" s="23" t="s">
        <v>13</v>
      </c>
      <c r="H21" s="26" t="s">
        <v>114</v>
      </c>
      <c r="I21" s="25"/>
      <c r="J21" s="23"/>
      <c r="K21" s="22"/>
    </row>
    <row r="22" spans="1:11" x14ac:dyDescent="0.3">
      <c r="A22" s="23" t="s">
        <v>14</v>
      </c>
      <c r="B22" s="23" t="s">
        <v>15</v>
      </c>
      <c r="C22" s="23" t="s">
        <v>20</v>
      </c>
      <c r="D22" s="25">
        <v>34000000</v>
      </c>
      <c r="E22" s="23">
        <v>2864</v>
      </c>
      <c r="F22" s="23" t="s">
        <v>23</v>
      </c>
      <c r="G22" s="23" t="s">
        <v>16</v>
      </c>
      <c r="H22" s="26" t="s">
        <v>114</v>
      </c>
      <c r="I22" s="25"/>
      <c r="J22" s="23"/>
      <c r="K22" s="22"/>
    </row>
    <row r="23" spans="1:11" x14ac:dyDescent="0.3">
      <c r="A23" s="23" t="s">
        <v>24</v>
      </c>
      <c r="B23" s="23" t="s">
        <v>10</v>
      </c>
      <c r="C23" s="23" t="s">
        <v>20</v>
      </c>
      <c r="D23" s="25">
        <v>34000000</v>
      </c>
      <c r="E23" s="23">
        <v>3562</v>
      </c>
      <c r="F23" s="23" t="s">
        <v>23</v>
      </c>
      <c r="G23" s="23" t="s">
        <v>19</v>
      </c>
      <c r="H23" s="26" t="s">
        <v>112</v>
      </c>
      <c r="I23" s="25"/>
      <c r="J23" s="23"/>
      <c r="K23" s="22"/>
    </row>
    <row r="24" spans="1:11" x14ac:dyDescent="0.3">
      <c r="A24" s="23" t="s">
        <v>9</v>
      </c>
      <c r="B24" s="23" t="s">
        <v>10</v>
      </c>
      <c r="C24" s="23" t="s">
        <v>11</v>
      </c>
      <c r="D24" s="25">
        <v>27000000</v>
      </c>
      <c r="E24" s="23">
        <v>3141</v>
      </c>
      <c r="F24" s="23" t="s">
        <v>23</v>
      </c>
      <c r="G24" s="23" t="s">
        <v>19</v>
      </c>
      <c r="H24" s="26" t="s">
        <v>113</v>
      </c>
      <c r="I24" s="25"/>
      <c r="J24" s="23"/>
      <c r="K24" s="22"/>
    </row>
    <row r="25" spans="1:11" x14ac:dyDescent="0.3">
      <c r="A25" s="23" t="s">
        <v>24</v>
      </c>
      <c r="B25" s="23" t="s">
        <v>22</v>
      </c>
      <c r="C25" s="23" t="s">
        <v>11</v>
      </c>
      <c r="D25" s="25">
        <v>49000000</v>
      </c>
      <c r="E25" s="23">
        <v>3869</v>
      </c>
      <c r="F25" s="23" t="s">
        <v>12</v>
      </c>
      <c r="G25" s="23" t="s">
        <v>16</v>
      </c>
      <c r="H25" s="26" t="s">
        <v>114</v>
      </c>
      <c r="I25" s="25"/>
      <c r="J25" s="23"/>
      <c r="K25" s="22"/>
    </row>
    <row r="26" spans="1:11" x14ac:dyDescent="0.3">
      <c r="A26" s="23" t="s">
        <v>21</v>
      </c>
      <c r="B26" s="23" t="s">
        <v>22</v>
      </c>
      <c r="C26" s="23" t="s">
        <v>20</v>
      </c>
      <c r="D26" s="25">
        <v>29000000</v>
      </c>
      <c r="E26" s="23">
        <v>1870</v>
      </c>
      <c r="F26" s="23" t="s">
        <v>25</v>
      </c>
      <c r="G26" s="23" t="s">
        <v>16</v>
      </c>
      <c r="H26" s="26" t="s">
        <v>113</v>
      </c>
      <c r="I26" s="25"/>
      <c r="J26" s="23"/>
      <c r="K26" s="22"/>
    </row>
    <row r="27" spans="1:11" x14ac:dyDescent="0.3">
      <c r="A27" s="23" t="s">
        <v>9</v>
      </c>
      <c r="B27" s="23" t="s">
        <v>22</v>
      </c>
      <c r="C27" s="23" t="s">
        <v>11</v>
      </c>
      <c r="D27" s="25">
        <v>37000000</v>
      </c>
      <c r="E27" s="23">
        <v>3969</v>
      </c>
      <c r="F27" s="23" t="s">
        <v>18</v>
      </c>
      <c r="G27" s="23" t="s">
        <v>16</v>
      </c>
      <c r="H27" s="26" t="s">
        <v>113</v>
      </c>
      <c r="I27" s="25"/>
      <c r="J27" s="23"/>
      <c r="K27" s="22"/>
    </row>
    <row r="28" spans="1:11" x14ac:dyDescent="0.3">
      <c r="A28" s="23" t="s">
        <v>14</v>
      </c>
      <c r="B28" s="23" t="s">
        <v>26</v>
      </c>
      <c r="C28" s="23" t="s">
        <v>20</v>
      </c>
      <c r="D28" s="25">
        <v>30000000</v>
      </c>
      <c r="E28" s="23">
        <v>3000</v>
      </c>
      <c r="F28" s="23" t="s">
        <v>12</v>
      </c>
      <c r="G28" s="23" t="s">
        <v>19</v>
      </c>
      <c r="H28" s="26" t="s">
        <v>113</v>
      </c>
      <c r="I28" s="25"/>
      <c r="J28" s="23"/>
      <c r="K28" s="22"/>
    </row>
    <row r="29" spans="1:11" x14ac:dyDescent="0.3">
      <c r="A29" s="23" t="s">
        <v>24</v>
      </c>
      <c r="B29" s="23" t="s">
        <v>22</v>
      </c>
      <c r="C29" s="23" t="s">
        <v>20</v>
      </c>
      <c r="D29" s="25">
        <v>25000000</v>
      </c>
      <c r="E29" s="23">
        <v>2193</v>
      </c>
      <c r="F29" s="23" t="s">
        <v>18</v>
      </c>
      <c r="G29" s="23" t="s">
        <v>13</v>
      </c>
      <c r="H29" s="26" t="s">
        <v>113</v>
      </c>
      <c r="I29" s="25"/>
      <c r="J29" s="23"/>
      <c r="K29" s="22"/>
    </row>
    <row r="30" spans="1:11" x14ac:dyDescent="0.3">
      <c r="A30" s="23" t="s">
        <v>14</v>
      </c>
      <c r="B30" s="23" t="s">
        <v>26</v>
      </c>
      <c r="C30" s="23" t="s">
        <v>11</v>
      </c>
      <c r="D30" s="25">
        <v>49000000</v>
      </c>
      <c r="E30" s="23">
        <v>2051</v>
      </c>
      <c r="F30" s="23" t="s">
        <v>25</v>
      </c>
      <c r="G30" s="23" t="s">
        <v>13</v>
      </c>
      <c r="H30" s="26" t="s">
        <v>114</v>
      </c>
      <c r="I30" s="25"/>
      <c r="J30" s="23"/>
      <c r="K30" s="22"/>
    </row>
    <row r="31" spans="1:11" x14ac:dyDescent="0.3">
      <c r="A31" s="22"/>
      <c r="B31" s="22"/>
      <c r="C31" s="22"/>
      <c r="D31" s="28"/>
      <c r="E31" s="22"/>
      <c r="F31" s="22"/>
      <c r="G31" s="22"/>
      <c r="H31" s="29"/>
      <c r="I31" s="28"/>
      <c r="J31" s="22"/>
      <c r="K31" s="22"/>
    </row>
    <row r="32" spans="1:11" x14ac:dyDescent="0.3">
      <c r="A32" t="s">
        <v>117</v>
      </c>
      <c r="B32" s="22"/>
      <c r="C32" s="30" t="s">
        <v>118</v>
      </c>
      <c r="D32" s="28"/>
      <c r="E32" t="s">
        <v>119</v>
      </c>
      <c r="F32" s="22"/>
      <c r="G32" s="22"/>
      <c r="H32" s="29"/>
      <c r="I32" t="s">
        <v>120</v>
      </c>
      <c r="J32" s="22"/>
      <c r="K32" s="22"/>
    </row>
    <row r="33" spans="1:11" x14ac:dyDescent="0.3">
      <c r="A33" s="23" t="s">
        <v>2</v>
      </c>
      <c r="B33" s="24" t="s">
        <v>11</v>
      </c>
      <c r="C33" s="24" t="s">
        <v>20</v>
      </c>
      <c r="D33" s="28"/>
      <c r="E33" s="49" t="s">
        <v>121</v>
      </c>
      <c r="F33" s="50"/>
      <c r="G33" s="24" t="s">
        <v>122</v>
      </c>
      <c r="H33" s="29"/>
      <c r="I33" s="23" t="s">
        <v>3</v>
      </c>
      <c r="J33" s="24" t="s">
        <v>1</v>
      </c>
      <c r="K33" s="22"/>
    </row>
    <row r="34" spans="1:11" x14ac:dyDescent="0.3">
      <c r="A34" s="23" t="s">
        <v>26</v>
      </c>
      <c r="B34" s="23"/>
      <c r="C34" s="23"/>
      <c r="D34" s="28"/>
      <c r="E34" s="23">
        <v>1000</v>
      </c>
      <c r="F34" s="23">
        <v>2000</v>
      </c>
      <c r="G34" s="23"/>
      <c r="H34" s="29"/>
      <c r="I34" s="23" t="s">
        <v>11</v>
      </c>
      <c r="J34" s="23"/>
      <c r="K34" s="22"/>
    </row>
    <row r="35" spans="1:11" x14ac:dyDescent="0.3">
      <c r="A35" s="23" t="s">
        <v>10</v>
      </c>
      <c r="B35" s="23"/>
      <c r="C35" s="23"/>
      <c r="D35" s="28"/>
      <c r="E35" s="23">
        <v>2001</v>
      </c>
      <c r="F35" s="23">
        <v>3000</v>
      </c>
      <c r="G35" s="23"/>
      <c r="H35" s="29"/>
      <c r="I35" s="23" t="s">
        <v>20</v>
      </c>
      <c r="J35" s="23"/>
      <c r="K35" s="22"/>
    </row>
    <row r="36" spans="1:11" x14ac:dyDescent="0.3">
      <c r="A36" s="23" t="s">
        <v>22</v>
      </c>
      <c r="B36" s="23"/>
      <c r="C36" s="23"/>
      <c r="D36" s="28"/>
      <c r="E36" s="23">
        <v>3001</v>
      </c>
      <c r="F36" s="23">
        <v>4000</v>
      </c>
      <c r="G36" s="23"/>
      <c r="H36" s="29"/>
      <c r="I36" s="22"/>
      <c r="J36" s="22"/>
      <c r="K36" s="22"/>
    </row>
    <row r="37" spans="1:11" x14ac:dyDescent="0.3">
      <c r="A37" s="23" t="s">
        <v>15</v>
      </c>
      <c r="B37" s="23"/>
      <c r="C37" s="23"/>
      <c r="D37" s="28"/>
      <c r="E37" s="23">
        <v>4001</v>
      </c>
      <c r="F37" s="23">
        <v>5000</v>
      </c>
      <c r="G37" s="23"/>
      <c r="H37" s="29"/>
      <c r="I37" s="22"/>
      <c r="J37" s="22"/>
      <c r="K37" s="22"/>
    </row>
    <row r="38" spans="1:11" x14ac:dyDescent="0.3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</row>
    <row r="39" spans="1:11" x14ac:dyDescent="0.3">
      <c r="A39" t="s">
        <v>123</v>
      </c>
      <c r="B39" s="22"/>
      <c r="C39" s="22"/>
      <c r="D39" s="22"/>
      <c r="E39" s="22"/>
      <c r="F39" s="22"/>
      <c r="G39" s="22"/>
      <c r="H39" s="22"/>
      <c r="I39" s="22"/>
      <c r="J39" s="22"/>
      <c r="K39" s="22"/>
    </row>
    <row r="40" spans="1:11" x14ac:dyDescent="0.3">
      <c r="A40" s="51" t="s">
        <v>11</v>
      </c>
      <c r="B40" s="51" t="s">
        <v>4</v>
      </c>
      <c r="C40" s="31">
        <v>0</v>
      </c>
      <c r="D40" s="31">
        <v>25000000</v>
      </c>
      <c r="E40" s="31">
        <v>35000000</v>
      </c>
      <c r="F40" s="31">
        <v>45000000</v>
      </c>
      <c r="G40" s="22"/>
      <c r="H40" s="22"/>
      <c r="I40" s="22"/>
      <c r="J40" s="22"/>
      <c r="K40" s="22"/>
    </row>
    <row r="41" spans="1:11" x14ac:dyDescent="0.3">
      <c r="A41" s="52"/>
      <c r="B41" s="53"/>
      <c r="C41" s="32">
        <v>24999999</v>
      </c>
      <c r="D41" s="32">
        <v>34999999</v>
      </c>
      <c r="E41" s="32">
        <v>44999999</v>
      </c>
      <c r="F41" s="33">
        <v>60000000</v>
      </c>
      <c r="G41" s="22"/>
      <c r="H41" s="22"/>
      <c r="I41" s="22"/>
      <c r="J41" s="22"/>
      <c r="K41" s="22"/>
    </row>
    <row r="42" spans="1:11" x14ac:dyDescent="0.3">
      <c r="A42" s="52"/>
      <c r="B42" s="23" t="s">
        <v>124</v>
      </c>
      <c r="C42" s="34">
        <v>3.0000000000000001E-3</v>
      </c>
      <c r="D42" s="34">
        <v>3.0000000000000001E-3</v>
      </c>
      <c r="E42" s="34">
        <v>2E-3</v>
      </c>
      <c r="F42" s="34">
        <v>2E-3</v>
      </c>
      <c r="G42" s="22"/>
      <c r="H42" s="22"/>
      <c r="I42" s="22"/>
      <c r="J42" s="22"/>
      <c r="K42" s="22"/>
    </row>
    <row r="43" spans="1:11" x14ac:dyDescent="0.3">
      <c r="A43" s="53"/>
      <c r="B43" s="23" t="s">
        <v>125</v>
      </c>
      <c r="C43" s="25">
        <v>70000</v>
      </c>
      <c r="D43" s="25">
        <v>90000</v>
      </c>
      <c r="E43" s="25">
        <v>90000</v>
      </c>
      <c r="F43" s="25">
        <v>100000</v>
      </c>
      <c r="G43" s="22"/>
      <c r="H43" s="22"/>
      <c r="I43" s="22"/>
      <c r="J43" s="35"/>
      <c r="K43" s="22"/>
    </row>
    <row r="44" spans="1:11" x14ac:dyDescent="0.3">
      <c r="A44" s="51" t="s">
        <v>20</v>
      </c>
      <c r="B44" s="51" t="s">
        <v>4</v>
      </c>
      <c r="C44" s="31">
        <v>0</v>
      </c>
      <c r="D44" s="31">
        <v>25000000</v>
      </c>
      <c r="E44" s="31">
        <v>35000000</v>
      </c>
      <c r="F44" s="31">
        <v>45000000</v>
      </c>
      <c r="G44" s="22"/>
      <c r="H44" s="22"/>
      <c r="I44" s="22"/>
      <c r="J44" s="22"/>
      <c r="K44" s="22"/>
    </row>
    <row r="45" spans="1:11" x14ac:dyDescent="0.3">
      <c r="A45" s="52"/>
      <c r="B45" s="53"/>
      <c r="C45" s="32">
        <v>24999999</v>
      </c>
      <c r="D45" s="32">
        <v>34999999</v>
      </c>
      <c r="E45" s="32">
        <v>44999999</v>
      </c>
      <c r="F45" s="33">
        <v>60000000</v>
      </c>
      <c r="G45" s="22"/>
      <c r="H45" s="22"/>
      <c r="I45" s="22"/>
      <c r="J45" s="22"/>
      <c r="K45" s="22"/>
    </row>
    <row r="46" spans="1:11" x14ac:dyDescent="0.3">
      <c r="A46" s="52"/>
      <c r="B46" s="23" t="s">
        <v>124</v>
      </c>
      <c r="C46" s="34">
        <v>5.0000000000000001E-3</v>
      </c>
      <c r="D46" s="34">
        <v>4.0000000000000001E-3</v>
      </c>
      <c r="E46" s="34">
        <v>3.0000000000000001E-3</v>
      </c>
      <c r="F46" s="34">
        <v>2E-3</v>
      </c>
      <c r="G46" s="22"/>
      <c r="H46" s="22"/>
      <c r="I46" s="22"/>
      <c r="J46" s="22"/>
      <c r="K46" s="22"/>
    </row>
    <row r="47" spans="1:11" x14ac:dyDescent="0.3">
      <c r="A47" s="53"/>
      <c r="B47" s="23" t="s">
        <v>125</v>
      </c>
      <c r="C47" s="25">
        <v>100000</v>
      </c>
      <c r="D47" s="25">
        <v>120000</v>
      </c>
      <c r="E47" s="25">
        <v>120000</v>
      </c>
      <c r="F47" s="25">
        <v>120000</v>
      </c>
      <c r="G47" s="22"/>
      <c r="H47" s="22"/>
      <c r="I47" s="22"/>
      <c r="J47" s="22"/>
      <c r="K47" s="22"/>
    </row>
  </sheetData>
  <mergeCells count="5">
    <mergeCell ref="E33:F33"/>
    <mergeCell ref="A40:A43"/>
    <mergeCell ref="B40:B41"/>
    <mergeCell ref="A44:A47"/>
    <mergeCell ref="B44:B4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7409-58C3-41B7-AD97-913490DEDD29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7A9E3-D9C4-4908-B16D-C81E5A95F9EF}">
  <sheetPr codeName="Sheet6"/>
  <dimension ref="A2:I15"/>
  <sheetViews>
    <sheetView workbookViewId="0"/>
  </sheetViews>
  <sheetFormatPr defaultRowHeight="16.5" x14ac:dyDescent="0.3"/>
  <cols>
    <col min="1" max="1" width="9.875" bestFit="1" customWidth="1"/>
    <col min="5" max="5" width="9.375" bestFit="1" customWidth="1"/>
    <col min="6" max="6" width="2.5" customWidth="1"/>
    <col min="7" max="7" width="10.25" customWidth="1"/>
    <col min="8" max="8" width="6.5" customWidth="1"/>
  </cols>
  <sheetData>
    <row r="2" spans="1:9" x14ac:dyDescent="0.3">
      <c r="A2" t="s">
        <v>134</v>
      </c>
      <c r="G2" s="36" t="s">
        <v>117</v>
      </c>
    </row>
    <row r="3" spans="1:9" x14ac:dyDescent="0.3">
      <c r="A3" s="23" t="s">
        <v>126</v>
      </c>
      <c r="B3" s="23" t="s">
        <v>127</v>
      </c>
      <c r="C3" s="23" t="s">
        <v>128</v>
      </c>
      <c r="D3" s="23" t="s">
        <v>129</v>
      </c>
      <c r="E3" s="23" t="s">
        <v>34</v>
      </c>
      <c r="I3" s="37" t="s">
        <v>34</v>
      </c>
    </row>
    <row r="4" spans="1:9" x14ac:dyDescent="0.3">
      <c r="A4" s="38">
        <v>44306</v>
      </c>
      <c r="B4" s="23" t="s">
        <v>130</v>
      </c>
      <c r="C4" s="39">
        <v>226</v>
      </c>
      <c r="D4" s="39">
        <v>5</v>
      </c>
      <c r="E4" s="40">
        <f t="shared" ref="E4:E11" si="0">(C4-D4)*VLOOKUP(B4,$A$14:$B$15,2,FALSE)</f>
        <v>64311</v>
      </c>
      <c r="H4" s="41"/>
      <c r="I4" s="40"/>
    </row>
    <row r="5" spans="1:9" x14ac:dyDescent="0.3">
      <c r="A5" s="38">
        <v>44315</v>
      </c>
      <c r="B5" s="23" t="s">
        <v>131</v>
      </c>
      <c r="C5" s="39">
        <v>278</v>
      </c>
      <c r="D5" s="39">
        <v>4</v>
      </c>
      <c r="E5" s="40">
        <f t="shared" si="0"/>
        <v>158920</v>
      </c>
      <c r="G5" s="54" t="s">
        <v>132</v>
      </c>
      <c r="H5" s="41">
        <v>1</v>
      </c>
      <c r="I5" s="40"/>
    </row>
    <row r="6" spans="1:9" x14ac:dyDescent="0.3">
      <c r="A6" s="38">
        <v>44323</v>
      </c>
      <c r="B6" s="23" t="s">
        <v>131</v>
      </c>
      <c r="C6" s="39">
        <v>349</v>
      </c>
      <c r="D6" s="39">
        <v>1</v>
      </c>
      <c r="E6" s="40">
        <f t="shared" si="0"/>
        <v>201840</v>
      </c>
      <c r="G6" s="54"/>
      <c r="H6" s="41">
        <v>3</v>
      </c>
      <c r="I6" s="40"/>
    </row>
    <row r="7" spans="1:9" x14ac:dyDescent="0.3">
      <c r="A7" s="38">
        <v>44336</v>
      </c>
      <c r="B7" s="23" t="s">
        <v>130</v>
      </c>
      <c r="C7" s="39">
        <v>321</v>
      </c>
      <c r="D7" s="39">
        <v>7</v>
      </c>
      <c r="E7" s="40">
        <f t="shared" si="0"/>
        <v>91374</v>
      </c>
      <c r="G7" s="54"/>
      <c r="H7" s="41">
        <v>5</v>
      </c>
      <c r="I7" s="40"/>
    </row>
    <row r="8" spans="1:9" x14ac:dyDescent="0.3">
      <c r="A8" s="38">
        <v>44345</v>
      </c>
      <c r="B8" s="23" t="s">
        <v>130</v>
      </c>
      <c r="C8" s="39">
        <v>546</v>
      </c>
      <c r="D8" s="39">
        <v>8</v>
      </c>
      <c r="E8" s="40">
        <f t="shared" si="0"/>
        <v>156558</v>
      </c>
      <c r="G8" s="54"/>
      <c r="H8" s="41">
        <v>7</v>
      </c>
      <c r="I8" s="40"/>
    </row>
    <row r="9" spans="1:9" x14ac:dyDescent="0.3">
      <c r="A9" s="38">
        <v>44354</v>
      </c>
      <c r="B9" s="23" t="s">
        <v>131</v>
      </c>
      <c r="C9" s="39">
        <v>246</v>
      </c>
      <c r="D9" s="39">
        <v>2</v>
      </c>
      <c r="E9" s="40">
        <f t="shared" si="0"/>
        <v>141520</v>
      </c>
      <c r="G9" s="54"/>
      <c r="H9" s="41">
        <v>9</v>
      </c>
      <c r="I9" s="40"/>
    </row>
    <row r="10" spans="1:9" x14ac:dyDescent="0.3">
      <c r="A10" s="38">
        <v>44358</v>
      </c>
      <c r="B10" s="23" t="s">
        <v>131</v>
      </c>
      <c r="C10" s="39">
        <v>531</v>
      </c>
      <c r="D10" s="39">
        <v>5</v>
      </c>
      <c r="E10" s="40">
        <f t="shared" si="0"/>
        <v>305080</v>
      </c>
      <c r="G10" s="54"/>
      <c r="H10" s="41">
        <v>11</v>
      </c>
      <c r="I10" s="40"/>
    </row>
    <row r="11" spans="1:9" x14ac:dyDescent="0.3">
      <c r="A11" s="38">
        <v>44369</v>
      </c>
      <c r="B11" s="23" t="s">
        <v>131</v>
      </c>
      <c r="C11" s="39">
        <v>521</v>
      </c>
      <c r="D11" s="39">
        <v>3</v>
      </c>
      <c r="E11" s="40">
        <f t="shared" si="0"/>
        <v>300440</v>
      </c>
      <c r="G11" s="54"/>
      <c r="H11" s="41">
        <v>13</v>
      </c>
      <c r="I11" s="40"/>
    </row>
    <row r="12" spans="1:9" x14ac:dyDescent="0.3">
      <c r="G12" s="54"/>
      <c r="H12" s="41">
        <v>15</v>
      </c>
      <c r="I12" s="40"/>
    </row>
    <row r="13" spans="1:9" x14ac:dyDescent="0.3">
      <c r="A13" s="49" t="s">
        <v>133</v>
      </c>
      <c r="B13" s="50"/>
    </row>
    <row r="14" spans="1:9" x14ac:dyDescent="0.3">
      <c r="A14" s="23" t="s">
        <v>130</v>
      </c>
      <c r="B14" s="23">
        <v>291</v>
      </c>
    </row>
    <row r="15" spans="1:9" x14ac:dyDescent="0.3">
      <c r="A15" s="23" t="s">
        <v>131</v>
      </c>
      <c r="B15" s="23">
        <v>580</v>
      </c>
    </row>
  </sheetData>
  <mergeCells count="2">
    <mergeCell ref="G5:G12"/>
    <mergeCell ref="A13:B13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9260-94D9-4D65-A554-DAFDFA07BB2B}">
  <sheetPr codeName="Sheet7"/>
  <dimension ref="A1:C8"/>
  <sheetViews>
    <sheetView workbookViewId="0">
      <selection sqref="A1:C1"/>
    </sheetView>
  </sheetViews>
  <sheetFormatPr defaultRowHeight="16.5" x14ac:dyDescent="0.3"/>
  <sheetData>
    <row r="1" spans="1:3" ht="20.25" x14ac:dyDescent="0.3">
      <c r="A1" s="55" t="s">
        <v>140</v>
      </c>
      <c r="B1" s="55"/>
      <c r="C1" s="55"/>
    </row>
    <row r="2" spans="1:3" x14ac:dyDescent="0.3">
      <c r="A2" s="23" t="s">
        <v>141</v>
      </c>
      <c r="B2" s="23" t="s">
        <v>142</v>
      </c>
      <c r="C2" s="23" t="s">
        <v>143</v>
      </c>
    </row>
    <row r="3" spans="1:3" x14ac:dyDescent="0.3">
      <c r="A3" s="23" t="s">
        <v>144</v>
      </c>
      <c r="B3" s="42">
        <v>420.52083333333297</v>
      </c>
      <c r="C3" s="42">
        <v>812.35</v>
      </c>
    </row>
    <row r="4" spans="1:3" x14ac:dyDescent="0.3">
      <c r="A4" s="23" t="s">
        <v>135</v>
      </c>
      <c r="B4" s="42">
        <v>248.94833333333301</v>
      </c>
      <c r="C4" s="42">
        <v>400.9</v>
      </c>
    </row>
    <row r="5" spans="1:3" x14ac:dyDescent="0.3">
      <c r="A5" s="23" t="s">
        <v>136</v>
      </c>
      <c r="B5" s="42">
        <v>410.428333333333</v>
      </c>
      <c r="C5" s="42">
        <v>638.27499999999998</v>
      </c>
    </row>
    <row r="6" spans="1:3" x14ac:dyDescent="0.3">
      <c r="A6" s="23" t="s">
        <v>137</v>
      </c>
      <c r="B6" s="42">
        <v>386.879166666667</v>
      </c>
      <c r="C6" s="42">
        <v>379.8</v>
      </c>
    </row>
    <row r="7" spans="1:3" x14ac:dyDescent="0.3">
      <c r="A7" s="23" t="s">
        <v>138</v>
      </c>
      <c r="B7" s="42">
        <v>400.33583333333303</v>
      </c>
      <c r="C7" s="42">
        <v>506.4</v>
      </c>
    </row>
    <row r="8" spans="1:3" x14ac:dyDescent="0.3">
      <c r="A8" s="23" t="s">
        <v>139</v>
      </c>
      <c r="B8" s="42">
        <v>339.78083333333302</v>
      </c>
      <c r="C8" s="42">
        <v>675.2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800CA-F5A9-4F90-9087-CA17484D84E6}">
  <sheetPr codeName="Sheet8"/>
  <dimension ref="A1:E15"/>
  <sheetViews>
    <sheetView workbookViewId="0">
      <selection sqref="A1:E1"/>
    </sheetView>
  </sheetViews>
  <sheetFormatPr defaultRowHeight="16.5" x14ac:dyDescent="0.3"/>
  <cols>
    <col min="1" max="1" width="11" customWidth="1"/>
    <col min="2" max="2" width="9.375" customWidth="1"/>
    <col min="3" max="3" width="9.875" customWidth="1"/>
    <col min="4" max="4" width="10" customWidth="1"/>
    <col min="5" max="5" width="14.375" customWidth="1"/>
    <col min="6" max="6" width="2.25" customWidth="1"/>
    <col min="7" max="7" width="11.125" customWidth="1"/>
  </cols>
  <sheetData>
    <row r="1" spans="1:5" ht="20.25" x14ac:dyDescent="0.3">
      <c r="A1" s="56" t="s">
        <v>145</v>
      </c>
      <c r="B1" s="56"/>
      <c r="C1" s="56"/>
      <c r="D1" s="56"/>
      <c r="E1" s="56"/>
    </row>
    <row r="3" spans="1:5" x14ac:dyDescent="0.3">
      <c r="A3" s="23" t="s">
        <v>146</v>
      </c>
      <c r="B3" s="23" t="s">
        <v>147</v>
      </c>
      <c r="C3" s="23" t="s">
        <v>148</v>
      </c>
      <c r="D3" s="23" t="s">
        <v>149</v>
      </c>
      <c r="E3" s="23" t="s">
        <v>150</v>
      </c>
    </row>
    <row r="4" spans="1:5" x14ac:dyDescent="0.3">
      <c r="A4" s="23" t="s">
        <v>151</v>
      </c>
      <c r="B4" s="25">
        <v>43150</v>
      </c>
      <c r="C4" s="43" t="s">
        <v>152</v>
      </c>
      <c r="D4" s="39">
        <v>2.9</v>
      </c>
      <c r="E4" s="25">
        <v>190984</v>
      </c>
    </row>
    <row r="5" spans="1:5" x14ac:dyDescent="0.3">
      <c r="A5" s="23" t="s">
        <v>153</v>
      </c>
      <c r="B5" s="25">
        <v>70500</v>
      </c>
      <c r="C5" s="43" t="s">
        <v>154</v>
      </c>
      <c r="D5" s="39">
        <v>1.4</v>
      </c>
      <c r="E5" s="25">
        <v>188630</v>
      </c>
    </row>
    <row r="6" spans="1:5" x14ac:dyDescent="0.3">
      <c r="A6" s="23" t="s">
        <v>155</v>
      </c>
      <c r="B6" s="25">
        <v>34450</v>
      </c>
      <c r="C6" s="43" t="s">
        <v>156</v>
      </c>
      <c r="D6" s="39">
        <v>-3.25</v>
      </c>
      <c r="E6" s="25">
        <v>177652</v>
      </c>
    </row>
    <row r="7" spans="1:5" x14ac:dyDescent="0.3">
      <c r="A7" s="23" t="s">
        <v>157</v>
      </c>
      <c r="B7" s="25">
        <v>214200</v>
      </c>
      <c r="C7" s="43" t="s">
        <v>158</v>
      </c>
      <c r="D7" s="39">
        <v>6.47</v>
      </c>
      <c r="E7" s="25">
        <v>311300</v>
      </c>
    </row>
    <row r="8" spans="1:5" x14ac:dyDescent="0.3">
      <c r="A8" s="23" t="s">
        <v>159</v>
      </c>
      <c r="B8" s="25">
        <v>108500</v>
      </c>
      <c r="C8" s="43" t="s">
        <v>160</v>
      </c>
      <c r="D8" s="39">
        <v>-9.0299999999999994</v>
      </c>
      <c r="E8" s="25">
        <v>302977</v>
      </c>
    </row>
    <row r="9" spans="1:5" x14ac:dyDescent="0.3">
      <c r="A9" s="23" t="s">
        <v>161</v>
      </c>
      <c r="B9" s="25">
        <v>126000</v>
      </c>
      <c r="C9" s="43" t="s">
        <v>162</v>
      </c>
      <c r="D9" s="39">
        <v>-19.68</v>
      </c>
      <c r="E9" s="25">
        <v>257309</v>
      </c>
    </row>
    <row r="10" spans="1:5" x14ac:dyDescent="0.3">
      <c r="A10" s="23" t="s">
        <v>163</v>
      </c>
      <c r="B10" s="25">
        <v>103000</v>
      </c>
      <c r="C10" s="43" t="s">
        <v>164</v>
      </c>
      <c r="D10" s="39">
        <v>-7.62</v>
      </c>
      <c r="E10" s="25">
        <v>229318</v>
      </c>
    </row>
    <row r="11" spans="1:5" x14ac:dyDescent="0.3">
      <c r="A11" s="23" t="s">
        <v>165</v>
      </c>
      <c r="B11" s="25">
        <v>41750</v>
      </c>
      <c r="C11" s="43" t="s">
        <v>166</v>
      </c>
      <c r="D11" s="39">
        <v>19.760000000000002</v>
      </c>
      <c r="E11" s="25">
        <v>159576</v>
      </c>
    </row>
    <row r="12" spans="1:5" x14ac:dyDescent="0.3">
      <c r="A12" s="23" t="s">
        <v>167</v>
      </c>
      <c r="B12" s="25">
        <v>29800</v>
      </c>
      <c r="C12" s="43" t="s">
        <v>168</v>
      </c>
      <c r="D12" s="39">
        <v>6.11</v>
      </c>
      <c r="E12" s="25">
        <v>144844</v>
      </c>
    </row>
    <row r="13" spans="1:5" x14ac:dyDescent="0.3">
      <c r="A13" s="23" t="s">
        <v>169</v>
      </c>
      <c r="B13" s="25">
        <v>122100</v>
      </c>
      <c r="C13" s="43">
        <v>0</v>
      </c>
      <c r="D13" s="39">
        <v>0</v>
      </c>
      <c r="E13" s="25">
        <v>229422</v>
      </c>
    </row>
    <row r="14" spans="1:5" x14ac:dyDescent="0.3">
      <c r="A14" s="23" t="s">
        <v>170</v>
      </c>
      <c r="B14" s="25">
        <v>87200</v>
      </c>
      <c r="C14" s="43" t="s">
        <v>171</v>
      </c>
      <c r="D14" s="39">
        <v>4.04</v>
      </c>
      <c r="E14" s="25">
        <v>197009</v>
      </c>
    </row>
    <row r="15" spans="1:5" x14ac:dyDescent="0.3">
      <c r="A15" s="23" t="s">
        <v>172</v>
      </c>
      <c r="B15" s="25">
        <v>192000</v>
      </c>
      <c r="C15" s="43" t="s">
        <v>173</v>
      </c>
      <c r="D15" s="39">
        <v>-17.71</v>
      </c>
      <c r="E15" s="25">
        <v>512514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00CA7-68BB-4434-B57D-9C49AB9B79E5}">
  <sheetPr codeName="Sheet1"/>
  <dimension ref="A2:I21"/>
  <sheetViews>
    <sheetView workbookViewId="0"/>
  </sheetViews>
  <sheetFormatPr defaultRowHeight="16.5" x14ac:dyDescent="0.3"/>
  <cols>
    <col min="3" max="3" width="13" bestFit="1" customWidth="1"/>
    <col min="4" max="4" width="13.125" customWidth="1"/>
    <col min="5" max="5" width="12.375" bestFit="1" customWidth="1"/>
    <col min="6" max="6" width="15.875" customWidth="1"/>
    <col min="7" max="7" width="3.5" customWidth="1"/>
    <col min="8" max="8" width="10.125" customWidth="1"/>
    <col min="9" max="9" width="13.5" customWidth="1"/>
  </cols>
  <sheetData>
    <row r="2" spans="1:9" x14ac:dyDescent="0.3">
      <c r="A2" t="s">
        <v>179</v>
      </c>
    </row>
    <row r="3" spans="1:9" x14ac:dyDescent="0.3">
      <c r="A3" s="44" t="s">
        <v>180</v>
      </c>
      <c r="B3" s="45" t="s">
        <v>181</v>
      </c>
      <c r="C3" s="45" t="s">
        <v>182</v>
      </c>
      <c r="D3" s="45" t="s">
        <v>183</v>
      </c>
      <c r="E3" s="45" t="s">
        <v>184</v>
      </c>
      <c r="F3" s="45" t="s">
        <v>185</v>
      </c>
      <c r="G3" s="46"/>
      <c r="H3" s="45" t="s">
        <v>183</v>
      </c>
      <c r="I3" s="45" t="s">
        <v>184</v>
      </c>
    </row>
    <row r="4" spans="1:9" x14ac:dyDescent="0.3">
      <c r="A4" s="39" t="s">
        <v>174</v>
      </c>
      <c r="B4" s="39" t="s">
        <v>175</v>
      </c>
      <c r="C4" s="47">
        <v>44355</v>
      </c>
      <c r="D4" s="47" t="s">
        <v>176</v>
      </c>
      <c r="E4" s="39" t="s">
        <v>177</v>
      </c>
      <c r="F4" s="39" t="s">
        <v>178</v>
      </c>
      <c r="H4" s="23" t="s">
        <v>186</v>
      </c>
      <c r="I4" s="23" t="s">
        <v>177</v>
      </c>
    </row>
    <row r="5" spans="1:9" x14ac:dyDescent="0.3">
      <c r="A5" s="39"/>
      <c r="B5" s="39"/>
      <c r="C5" s="39"/>
      <c r="D5" s="47"/>
      <c r="E5" s="39"/>
      <c r="F5" s="39"/>
      <c r="H5" s="23" t="s">
        <v>176</v>
      </c>
      <c r="I5" s="23" t="s">
        <v>187</v>
      </c>
    </row>
    <row r="6" spans="1:9" x14ac:dyDescent="0.3">
      <c r="A6" s="39"/>
      <c r="B6" s="39"/>
      <c r="C6" s="39"/>
      <c r="D6" s="39"/>
      <c r="E6" s="39"/>
      <c r="F6" s="39"/>
      <c r="H6" s="23" t="s">
        <v>188</v>
      </c>
      <c r="I6" s="23" t="s">
        <v>189</v>
      </c>
    </row>
    <row r="7" spans="1:9" x14ac:dyDescent="0.3">
      <c r="A7" s="39"/>
      <c r="B7" s="39"/>
      <c r="C7" s="39"/>
      <c r="D7" s="39"/>
      <c r="E7" s="39"/>
      <c r="F7" s="39"/>
      <c r="H7" s="23" t="s">
        <v>190</v>
      </c>
      <c r="I7" s="23" t="s">
        <v>191</v>
      </c>
    </row>
    <row r="8" spans="1:9" x14ac:dyDescent="0.3">
      <c r="A8" s="39"/>
      <c r="B8" s="39"/>
      <c r="C8" s="39"/>
      <c r="D8" s="39"/>
      <c r="E8" s="39"/>
      <c r="F8" s="39"/>
    </row>
    <row r="9" spans="1:9" x14ac:dyDescent="0.3">
      <c r="A9" s="39"/>
      <c r="B9" s="39"/>
      <c r="C9" s="39"/>
      <c r="D9" s="39"/>
      <c r="E9" s="39"/>
      <c r="F9" s="39"/>
    </row>
    <row r="10" spans="1:9" x14ac:dyDescent="0.3">
      <c r="A10" s="39"/>
      <c r="B10" s="39"/>
      <c r="C10" s="39"/>
      <c r="D10" s="39"/>
      <c r="E10" s="39"/>
      <c r="F10" s="39"/>
    </row>
    <row r="11" spans="1:9" x14ac:dyDescent="0.3">
      <c r="A11" s="39"/>
      <c r="B11" s="39"/>
      <c r="C11" s="39"/>
      <c r="D11" s="39"/>
      <c r="E11" s="39"/>
      <c r="F11" s="39"/>
    </row>
    <row r="12" spans="1:9" x14ac:dyDescent="0.3">
      <c r="A12" s="39"/>
      <c r="B12" s="39"/>
      <c r="C12" s="39"/>
      <c r="D12" s="39"/>
      <c r="E12" s="39"/>
      <c r="F12" s="39"/>
    </row>
    <row r="13" spans="1:9" x14ac:dyDescent="0.3">
      <c r="A13" s="39"/>
      <c r="B13" s="39"/>
      <c r="C13" s="39"/>
      <c r="D13" s="39"/>
      <c r="E13" s="39"/>
      <c r="F13" s="39"/>
    </row>
    <row r="14" spans="1:9" x14ac:dyDescent="0.3">
      <c r="A14" s="39"/>
      <c r="B14" s="39"/>
      <c r="C14" s="39"/>
      <c r="D14" s="39"/>
      <c r="E14" s="39"/>
      <c r="F14" s="39"/>
    </row>
    <row r="15" spans="1:9" x14ac:dyDescent="0.3">
      <c r="A15" s="39"/>
      <c r="B15" s="39"/>
      <c r="C15" s="39"/>
      <c r="D15" s="39"/>
      <c r="E15" s="39"/>
      <c r="F15" s="39"/>
    </row>
    <row r="16" spans="1:9" x14ac:dyDescent="0.3">
      <c r="A16" s="39"/>
      <c r="B16" s="39"/>
      <c r="C16" s="39"/>
      <c r="D16" s="39"/>
      <c r="E16" s="39"/>
      <c r="F16" s="39"/>
    </row>
    <row r="17" spans="1:6" x14ac:dyDescent="0.3">
      <c r="A17" s="39"/>
      <c r="B17" s="39"/>
      <c r="C17" s="39"/>
      <c r="D17" s="39"/>
      <c r="E17" s="39"/>
      <c r="F17" s="39"/>
    </row>
    <row r="18" spans="1:6" x14ac:dyDescent="0.3">
      <c r="A18" s="39"/>
      <c r="B18" s="39"/>
      <c r="C18" s="39"/>
      <c r="D18" s="39"/>
      <c r="E18" s="39"/>
      <c r="F18" s="39"/>
    </row>
    <row r="19" spans="1:6" x14ac:dyDescent="0.3">
      <c r="A19" s="39"/>
      <c r="B19" s="39"/>
      <c r="C19" s="39"/>
      <c r="D19" s="39"/>
      <c r="E19" s="39"/>
      <c r="F19" s="39"/>
    </row>
    <row r="20" spans="1:6" x14ac:dyDescent="0.3">
      <c r="A20" s="39"/>
      <c r="B20" s="39"/>
      <c r="C20" s="39"/>
      <c r="D20" s="39"/>
      <c r="E20" s="39"/>
      <c r="F20" s="39"/>
    </row>
    <row r="21" spans="1:6" x14ac:dyDescent="0.3">
      <c r="A21" s="39"/>
      <c r="B21" s="39"/>
      <c r="C21" s="39"/>
      <c r="D21" s="39"/>
      <c r="E21" s="39"/>
      <c r="F21" s="39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원아등록">
          <controlPr defaultSize="0" autoLine="0" r:id="rId4">
            <anchor moveWithCells="1">
              <from>
                <xdr:col>5</xdr:col>
                <xdr:colOff>180975</xdr:colOff>
                <xdr:row>0</xdr:row>
                <xdr:rowOff>47625</xdr:rowOff>
              </from>
              <to>
                <xdr:col>5</xdr:col>
                <xdr:colOff>1143000</xdr:colOff>
                <xdr:row>1</xdr:row>
                <xdr:rowOff>190500</xdr:rowOff>
              </to>
            </anchor>
          </controlPr>
        </control>
      </mc:Choice>
      <mc:Fallback>
        <control shapeId="2049" r:id="rId3" name="cmd원아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</cp:lastModifiedBy>
  <dcterms:created xsi:type="dcterms:W3CDTF">2023-07-14T11:40:39Z</dcterms:created>
  <dcterms:modified xsi:type="dcterms:W3CDTF">2023-11-21T07:58:00Z</dcterms:modified>
</cp:coreProperties>
</file>