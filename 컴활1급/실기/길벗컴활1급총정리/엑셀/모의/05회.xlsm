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2021\총정리 실습파일\엑셀\모의\"/>
    </mc:Choice>
  </mc:AlternateContent>
  <xr:revisionPtr revIDLastSave="0" documentId="13_ncr:1_{D91B0233-742F-4716-83DC-E0CAA727B57D}" xr6:coauthVersionLast="47" xr6:coauthVersionMax="47" xr10:uidLastSave="{00000000-0000-0000-0000-000000000000}"/>
  <bookViews>
    <workbookView xWindow="830" yWindow="1060" windowWidth="25260" windowHeight="18170" activeTab="7" xr2:uid="{996A17FC-0A87-4199-9912-680845FDCF65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4" l="1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6" i="8"/>
  <c r="G7" i="8"/>
  <c r="G8" i="8"/>
  <c r="G9" i="8"/>
  <c r="G10" i="8"/>
  <c r="G11" i="8"/>
  <c r="G12" i="8"/>
  <c r="G13" i="8"/>
  <c r="G14" i="8"/>
  <c r="G15" i="8"/>
  <c r="G16" i="8"/>
  <c r="G17" i="8"/>
</calcChain>
</file>

<file path=xl/sharedStrings.xml><?xml version="1.0" encoding="utf-8"?>
<sst xmlns="http://schemas.openxmlformats.org/spreadsheetml/2006/main" count="507" uniqueCount="127">
  <si>
    <t>도서코드</t>
  </si>
  <si>
    <t>분류</t>
  </si>
  <si>
    <t>출판사</t>
  </si>
  <si>
    <t>재지</t>
  </si>
  <si>
    <t>페이지</t>
  </si>
  <si>
    <t>제작비용</t>
  </si>
  <si>
    <t>판매부수</t>
  </si>
  <si>
    <t>도서가격</t>
  </si>
  <si>
    <t>예상이익</t>
  </si>
  <si>
    <t>SC-H06</t>
  </si>
  <si>
    <t>과학</t>
  </si>
  <si>
    <t>북오십일</t>
  </si>
  <si>
    <t>스노우지</t>
  </si>
  <si>
    <t>○</t>
  </si>
  <si>
    <t>HM-S01</t>
  </si>
  <si>
    <t>인문</t>
  </si>
  <si>
    <t>구공사</t>
  </si>
  <si>
    <t>모조지</t>
  </si>
  <si>
    <t>CH-K05</t>
  </si>
  <si>
    <t>아동</t>
  </si>
  <si>
    <t>HM-G09</t>
  </si>
  <si>
    <t>SC-T04</t>
  </si>
  <si>
    <t>아트지</t>
  </si>
  <si>
    <t>SC-L01</t>
  </si>
  <si>
    <t>사회</t>
  </si>
  <si>
    <t>문학사랑</t>
  </si>
  <si>
    <t>뉴플러스</t>
  </si>
  <si>
    <t>HM-K08</t>
  </si>
  <si>
    <t>SC-G03</t>
  </si>
  <si>
    <t>CH-W06</t>
  </si>
  <si>
    <t>SC-H04</t>
  </si>
  <si>
    <t>SC-Z08</t>
  </si>
  <si>
    <t>SC-S06</t>
  </si>
  <si>
    <t>길영북스</t>
  </si>
  <si>
    <t>HM-O07</t>
  </si>
  <si>
    <t>SC-E05</t>
  </si>
  <si>
    <t>CH-H01</t>
  </si>
  <si>
    <t>SC-Z07</t>
  </si>
  <si>
    <t>SC-Q02</t>
  </si>
  <si>
    <t>SC-K02</t>
  </si>
  <si>
    <t>HM-I02</t>
  </si>
  <si>
    <t>SC-F05</t>
  </si>
  <si>
    <t>SC-J00</t>
  </si>
  <si>
    <t>SC-Q00</t>
  </si>
  <si>
    <t>CH-R06</t>
  </si>
  <si>
    <t>HM-L10</t>
  </si>
  <si>
    <t>CH-D10</t>
  </si>
  <si>
    <t>HM-J09</t>
  </si>
  <si>
    <t>SC-W02</t>
  </si>
  <si>
    <t>SC-B01</t>
  </si>
  <si>
    <t>SC-K04</t>
  </si>
  <si>
    <t>SC-R07</t>
  </si>
  <si>
    <t>HM-R07</t>
  </si>
  <si>
    <t>HM-T07</t>
  </si>
  <si>
    <t>CH-J00</t>
  </si>
  <si>
    <t>E-Book</t>
  </si>
  <si>
    <t>팀명</t>
  </si>
  <si>
    <t>축구</t>
  </si>
  <si>
    <t>발야구</t>
  </si>
  <si>
    <t>피구</t>
  </si>
  <si>
    <t>이어달리기</t>
  </si>
  <si>
    <t>줄다리기</t>
  </si>
  <si>
    <t>총점</t>
  </si>
  <si>
    <t>생산1</t>
  </si>
  <si>
    <t>생산2</t>
  </si>
  <si>
    <t>영업1</t>
  </si>
  <si>
    <t>영업2</t>
  </si>
  <si>
    <t>자재1</t>
  </si>
  <si>
    <t>자재2</t>
  </si>
  <si>
    <t>총무1</t>
  </si>
  <si>
    <t>총무2</t>
  </si>
  <si>
    <t>디자인1</t>
  </si>
  <si>
    <t>디자인2</t>
  </si>
  <si>
    <t>기획1</t>
  </si>
  <si>
    <t>기획2</t>
  </si>
  <si>
    <t>[표1]</t>
  </si>
  <si>
    <t>MD평가</t>
  </si>
  <si>
    <t>[표2] 재지와 페이지에 따른 장당 인쇄비용</t>
  </si>
  <si>
    <t xml:space="preserve">           페이지_x000D_
재지</t>
  </si>
  <si>
    <t>[표3] 출판사별 판매부수 그래프와 최다판매도서의 도서코드</t>
  </si>
  <si>
    <t>판매부수 그래프</t>
  </si>
  <si>
    <t>최다판매량 도서코드</t>
  </si>
  <si>
    <t>[표4] 분류별 재지별 도서수</t>
  </si>
  <si>
    <t>1학년 중간고사 성적표</t>
  </si>
  <si>
    <t>반</t>
  </si>
  <si>
    <t>성명</t>
  </si>
  <si>
    <t>성별</t>
  </si>
  <si>
    <t>국어</t>
  </si>
  <si>
    <t>영어</t>
  </si>
  <si>
    <t>수학</t>
  </si>
  <si>
    <t>평균</t>
  </si>
  <si>
    <t>강동현</t>
  </si>
  <si>
    <t>남</t>
  </si>
  <si>
    <t>강현준</t>
  </si>
  <si>
    <t>김영희</t>
  </si>
  <si>
    <t>여</t>
  </si>
  <si>
    <t>김지후</t>
  </si>
  <si>
    <t>박정숙</t>
  </si>
  <si>
    <t>신영순</t>
  </si>
  <si>
    <t>윤정희</t>
  </si>
  <si>
    <t>이명준</t>
  </si>
  <si>
    <t>이선영</t>
  </si>
  <si>
    <t>이지홍</t>
  </si>
  <si>
    <t>이현정</t>
  </si>
  <si>
    <t>장건우</t>
  </si>
  <si>
    <t>최미경</t>
  </si>
  <si>
    <t>한민재</t>
  </si>
  <si>
    <t>한숙자</t>
  </si>
  <si>
    <t>(단위 : 백만원)</t>
  </si>
  <si>
    <t>구분</t>
  </si>
  <si>
    <t>2020년</t>
  </si>
  <si>
    <t>2021년</t>
  </si>
  <si>
    <t>당좌자산</t>
  </si>
  <si>
    <t>재고자산</t>
  </si>
  <si>
    <t>투자자산</t>
  </si>
  <si>
    <t>유형자산</t>
  </si>
  <si>
    <t>무형자산</t>
  </si>
  <si>
    <t>기타비유동자산</t>
  </si>
  <si>
    <t>이익</t>
  </si>
  <si>
    <t>중단</t>
  </si>
  <si>
    <t>서초점</t>
  </si>
  <si>
    <t>강서</t>
  </si>
  <si>
    <t>대리점</t>
  </si>
  <si>
    <t>반출창고</t>
  </si>
  <si>
    <t>도서수</t>
  </si>
  <si>
    <t>총금액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</si>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</sst>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0.0_ 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176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5" fillId="0" borderId="0" xfId="0" applyFon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3" fontId="0" fillId="0" borderId="1" xfId="0" applyNumberFormat="1" applyBorder="1">
      <alignment vertical="center"/>
    </xf>
    <xf numFmtId="0" fontId="0" fillId="0" borderId="1" xfId="1" applyNumberFormat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'기타작업-1'!$A$3</c:f>
              <c:strCache>
                <c:ptCount val="1"/>
                <c:pt idx="0">
                  <c:v>당좌자산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'기타작업-1'!$B$2:$C$2</c:f>
              <c:strCache>
                <c:ptCount val="2"/>
                <c:pt idx="0">
                  <c:v>2020년</c:v>
                </c:pt>
                <c:pt idx="1">
                  <c:v>2021년</c:v>
                </c:pt>
              </c:strCache>
            </c:strRef>
          </c:cat>
          <c:val>
            <c:numRef>
              <c:f>'기타작업-1'!$B$3:$C$3</c:f>
              <c:numCache>
                <c:formatCode>#,##0</c:formatCode>
                <c:ptCount val="2"/>
                <c:pt idx="0">
                  <c:v>9510040</c:v>
                </c:pt>
                <c:pt idx="1">
                  <c:v>9807271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6-4CEF-BA6B-F928B16CD735}"/>
            </c:ext>
          </c:extLst>
        </c:ser>
        <c:ser>
          <c:idx val="1"/>
          <c:order val="1"/>
          <c:tx>
            <c:strRef>
              <c:f>'기타작업-1'!$A$4</c:f>
              <c:strCache>
                <c:ptCount val="1"/>
                <c:pt idx="0">
                  <c:v>재고자산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'기타작업-1'!$B$2:$C$2</c:f>
              <c:strCache>
                <c:ptCount val="2"/>
                <c:pt idx="0">
                  <c:v>2020년</c:v>
                </c:pt>
                <c:pt idx="1">
                  <c:v>2021년</c:v>
                </c:pt>
              </c:strCache>
            </c:strRef>
          </c:cat>
          <c:val>
            <c:numRef>
              <c:f>'기타작업-1'!$B$4:$C$4</c:f>
              <c:numCache>
                <c:formatCode>#,##0</c:formatCode>
                <c:ptCount val="2"/>
                <c:pt idx="0">
                  <c:v>4790697</c:v>
                </c:pt>
                <c:pt idx="1">
                  <c:v>1953676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16-4CEF-BA6B-F928B16CD735}"/>
            </c:ext>
          </c:extLst>
        </c:ser>
        <c:ser>
          <c:idx val="2"/>
          <c:order val="2"/>
          <c:tx>
            <c:strRef>
              <c:f>'기타작업-1'!$A$5</c:f>
              <c:strCache>
                <c:ptCount val="1"/>
                <c:pt idx="0">
                  <c:v>투자자산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'기타작업-1'!$B$2:$C$2</c:f>
              <c:strCache>
                <c:ptCount val="2"/>
                <c:pt idx="0">
                  <c:v>2020년</c:v>
                </c:pt>
                <c:pt idx="1">
                  <c:v>2021년</c:v>
                </c:pt>
              </c:strCache>
            </c:strRef>
          </c:cat>
          <c:val>
            <c:numRef>
              <c:f>'기타작업-1'!$B$5:$C$5</c:f>
              <c:numCache>
                <c:formatCode>#,##0</c:formatCode>
                <c:ptCount val="2"/>
                <c:pt idx="0">
                  <c:v>1964906</c:v>
                </c:pt>
                <c:pt idx="1">
                  <c:v>2802763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16-4CEF-BA6B-F928B16CD735}"/>
            </c:ext>
          </c:extLst>
        </c:ser>
        <c:ser>
          <c:idx val="3"/>
          <c:order val="3"/>
          <c:tx>
            <c:strRef>
              <c:f>'기타작업-1'!$A$6</c:f>
              <c:strCache>
                <c:ptCount val="1"/>
                <c:pt idx="0">
                  <c:v>유형자산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'기타작업-1'!$B$2:$C$2</c:f>
              <c:strCache>
                <c:ptCount val="2"/>
                <c:pt idx="0">
                  <c:v>2020년</c:v>
                </c:pt>
                <c:pt idx="1">
                  <c:v>2021년</c:v>
                </c:pt>
              </c:strCache>
            </c:strRef>
          </c:cat>
          <c:val>
            <c:numRef>
              <c:f>'기타작업-1'!$B$6:$C$6</c:f>
              <c:numCache>
                <c:formatCode>#,##0</c:formatCode>
                <c:ptCount val="2"/>
                <c:pt idx="0">
                  <c:v>7840595</c:v>
                </c:pt>
                <c:pt idx="1">
                  <c:v>12037866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16-4CEF-BA6B-F928B16CD735}"/>
            </c:ext>
          </c:extLst>
        </c:ser>
        <c:ser>
          <c:idx val="4"/>
          <c:order val="4"/>
          <c:tx>
            <c:strRef>
              <c:f>'기타작업-1'!$A$7</c:f>
              <c:strCache>
                <c:ptCount val="1"/>
                <c:pt idx="0">
                  <c:v>무형자산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'기타작업-1'!$B$2:$C$2</c:f>
              <c:strCache>
                <c:ptCount val="2"/>
                <c:pt idx="0">
                  <c:v>2020년</c:v>
                </c:pt>
                <c:pt idx="1">
                  <c:v>2021년</c:v>
                </c:pt>
              </c:strCache>
            </c:strRef>
          </c:cat>
          <c:val>
            <c:numRef>
              <c:f>'기타작업-1'!$B$7:$C$7</c:f>
              <c:numCache>
                <c:formatCode>#,##0</c:formatCode>
                <c:ptCount val="2"/>
                <c:pt idx="0">
                  <c:v>6548760</c:v>
                </c:pt>
                <c:pt idx="1">
                  <c:v>5693906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16-4CEF-BA6B-F928B16CD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1671744"/>
        <c:axId val="2021659744"/>
      </c:barChart>
      <c:catAx>
        <c:axId val="202167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21659744"/>
        <c:crosses val="autoZero"/>
        <c:auto val="1"/>
        <c:lblAlgn val="ctr"/>
        <c:lblOffset val="100"/>
        <c:noMultiLvlLbl val="0"/>
      </c:catAx>
      <c:valAx>
        <c:axId val="202165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2167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190501</xdr:colOff>
      <xdr:row>0</xdr:row>
      <xdr:rowOff>133350</xdr:rowOff>
    </xdr:from>
    <xdr:to>
      <xdr:col>6</xdr:col>
      <xdr:colOff>466725</xdr:colOff>
      <xdr:row>3</xdr:row>
      <xdr:rowOff>19050</xdr:rowOff>
    </xdr:to>
    <xdr:sp macro="" textlink="" fLocksText="0">
      <xdr:nvSpPr>
        <xdr:cNvPr id="2" name="빗면 1">
          <a:extLst>
            <a:ext uri="{FF2B5EF4-FFF2-40B4-BE49-F238E27FC236}">
              <a16:creationId xmlns:a16="http://schemas.microsoft.com/office/drawing/2014/main" id="{7D70D134-C29A-49B7-B1E3-EDFEC9EB9352}"/>
            </a:ext>
          </a:extLst>
        </xdr:cNvPr>
        <xdr:cNvSpPr/>
      </xdr:nvSpPr>
      <xdr:spPr>
        <a:xfrm>
          <a:off x="190501" y="133350"/>
          <a:ext cx="4543424" cy="533400"/>
        </a:xfrm>
        <a:prstGeom prst="bevel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600"/>
            <a:t>체육대회 결과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7C04A06-9C4B-2962-1AB9-25B5677D6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0</xdr:row>
          <xdr:rowOff>44450</xdr:rowOff>
        </xdr:from>
        <xdr:to>
          <xdr:col>7</xdr:col>
          <xdr:colOff>0</xdr:colOff>
          <xdr:row>1</xdr:row>
          <xdr:rowOff>152400</xdr:rowOff>
        </xdr:to>
        <xdr:sp macro="" textlink="">
          <xdr:nvSpPr>
            <xdr:cNvPr id="3073" name="cmd반출등록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4FCF7-CB6C-4E76-B119-ED1DA63A05F1}">
  <sheetPr codeName="Sheet2"/>
  <dimension ref="A1:J34"/>
  <sheetViews>
    <sheetView workbookViewId="0">
      <selection activeCell="I34" sqref="I34"/>
    </sheetView>
  </sheetViews>
  <sheetFormatPr defaultRowHeight="17" x14ac:dyDescent="0.45"/>
  <cols>
    <col min="1" max="1" width="10.08203125" customWidth="1"/>
    <col min="2" max="2" width="8.25" customWidth="1"/>
    <col min="3" max="4" width="9" bestFit="1" customWidth="1"/>
    <col min="5" max="5" width="7.75" customWidth="1"/>
    <col min="6" max="6" width="14.33203125" bestFit="1" customWidth="1"/>
    <col min="7" max="7" width="8" bestFit="1" customWidth="1"/>
    <col min="8" max="8" width="9.33203125" customWidth="1"/>
    <col min="9" max="9" width="10.08203125" bestFit="1" customWidth="1"/>
    <col min="10" max="10" width="14.58203125" bestFit="1" customWidth="1"/>
    <col min="11" max="11" width="3.08203125" customWidth="1"/>
  </cols>
  <sheetData>
    <row r="1" spans="1:10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55</v>
      </c>
      <c r="H1" s="1" t="s">
        <v>6</v>
      </c>
      <c r="I1" s="1" t="s">
        <v>7</v>
      </c>
      <c r="J1" s="1" t="s">
        <v>8</v>
      </c>
    </row>
    <row r="2" spans="1:10" x14ac:dyDescent="0.45">
      <c r="A2" s="2" t="s">
        <v>9</v>
      </c>
      <c r="B2" s="2" t="s">
        <v>10</v>
      </c>
      <c r="C2" s="2" t="s">
        <v>11</v>
      </c>
      <c r="D2" s="2" t="s">
        <v>12</v>
      </c>
      <c r="E2" s="3">
        <v>352</v>
      </c>
      <c r="F2" s="4">
        <v>26620000</v>
      </c>
      <c r="G2" s="2" t="s">
        <v>13</v>
      </c>
      <c r="H2" s="4">
        <v>65600</v>
      </c>
      <c r="I2" s="4">
        <v>30000</v>
      </c>
      <c r="J2" s="4">
        <v>1502647200</v>
      </c>
    </row>
    <row r="3" spans="1:10" x14ac:dyDescent="0.45">
      <c r="A3" s="2" t="s">
        <v>14</v>
      </c>
      <c r="B3" s="2" t="s">
        <v>15</v>
      </c>
      <c r="C3" s="2" t="s">
        <v>16</v>
      </c>
      <c r="D3" s="2" t="s">
        <v>17</v>
      </c>
      <c r="E3" s="3">
        <v>544</v>
      </c>
      <c r="F3" s="4">
        <v>44860000</v>
      </c>
      <c r="G3" s="2"/>
      <c r="H3" s="4">
        <v>44900</v>
      </c>
      <c r="I3" s="4">
        <v>32000</v>
      </c>
      <c r="J3" s="4">
        <v>1172109600</v>
      </c>
    </row>
    <row r="4" spans="1:10" x14ac:dyDescent="0.45">
      <c r="A4" s="2" t="s">
        <v>18</v>
      </c>
      <c r="B4" s="2" t="s">
        <v>19</v>
      </c>
      <c r="C4" s="2" t="s">
        <v>11</v>
      </c>
      <c r="D4" s="2" t="s">
        <v>17</v>
      </c>
      <c r="E4" s="3">
        <v>496</v>
      </c>
      <c r="F4" s="4">
        <v>36490000</v>
      </c>
      <c r="G4" s="2"/>
      <c r="H4" s="4">
        <v>17700</v>
      </c>
      <c r="I4" s="4">
        <v>25000</v>
      </c>
      <c r="J4" s="4">
        <v>326997200</v>
      </c>
    </row>
    <row r="5" spans="1:10" x14ac:dyDescent="0.45">
      <c r="A5" s="2" t="s">
        <v>20</v>
      </c>
      <c r="B5" s="2" t="s">
        <v>15</v>
      </c>
      <c r="C5" s="2" t="s">
        <v>16</v>
      </c>
      <c r="D5" s="2" t="s">
        <v>12</v>
      </c>
      <c r="E5" s="3">
        <v>512</v>
      </c>
      <c r="F5" s="4">
        <v>62220000</v>
      </c>
      <c r="G5" s="2" t="s">
        <v>13</v>
      </c>
      <c r="H5" s="4">
        <v>12500</v>
      </c>
      <c r="I5" s="4">
        <v>16000</v>
      </c>
      <c r="J5" s="4">
        <v>28980000</v>
      </c>
    </row>
    <row r="6" spans="1:10" x14ac:dyDescent="0.45">
      <c r="A6" s="2" t="s">
        <v>21</v>
      </c>
      <c r="B6" s="2" t="s">
        <v>10</v>
      </c>
      <c r="C6" s="2" t="s">
        <v>11</v>
      </c>
      <c r="D6" s="2" t="s">
        <v>22</v>
      </c>
      <c r="E6" s="3">
        <v>352</v>
      </c>
      <c r="F6" s="4">
        <v>43760000</v>
      </c>
      <c r="G6" s="2"/>
      <c r="H6" s="4">
        <v>29600</v>
      </c>
      <c r="I6" s="4">
        <v>47000</v>
      </c>
      <c r="J6" s="4">
        <v>1159894400</v>
      </c>
    </row>
    <row r="7" spans="1:10" x14ac:dyDescent="0.45">
      <c r="A7" s="2" t="s">
        <v>23</v>
      </c>
      <c r="B7" s="2" t="s">
        <v>24</v>
      </c>
      <c r="C7" s="2" t="s">
        <v>25</v>
      </c>
      <c r="D7" s="2" t="s">
        <v>26</v>
      </c>
      <c r="E7" s="3">
        <v>456</v>
      </c>
      <c r="F7" s="4">
        <v>14370000</v>
      </c>
      <c r="G7" s="2"/>
      <c r="H7" s="4">
        <v>72400</v>
      </c>
      <c r="I7" s="4">
        <v>11000</v>
      </c>
      <c r="J7" s="4">
        <v>451886000</v>
      </c>
    </row>
    <row r="8" spans="1:10" x14ac:dyDescent="0.45">
      <c r="A8" s="2" t="s">
        <v>27</v>
      </c>
      <c r="B8" s="2" t="s">
        <v>15</v>
      </c>
      <c r="C8" s="2" t="s">
        <v>16</v>
      </c>
      <c r="D8" s="2" t="s">
        <v>17</v>
      </c>
      <c r="E8" s="3">
        <v>512</v>
      </c>
      <c r="F8" s="4">
        <v>56250000</v>
      </c>
      <c r="G8" s="2"/>
      <c r="H8" s="4">
        <v>44600</v>
      </c>
      <c r="I8" s="4">
        <v>37000</v>
      </c>
      <c r="J8" s="4">
        <v>1388433200</v>
      </c>
    </row>
    <row r="9" spans="1:10" x14ac:dyDescent="0.45">
      <c r="A9" s="2" t="s">
        <v>28</v>
      </c>
      <c r="B9" s="2" t="s">
        <v>24</v>
      </c>
      <c r="C9" s="2" t="s">
        <v>25</v>
      </c>
      <c r="D9" s="2" t="s">
        <v>12</v>
      </c>
      <c r="E9" s="3">
        <v>288</v>
      </c>
      <c r="F9" s="4">
        <v>22450000</v>
      </c>
      <c r="G9" s="2" t="s">
        <v>13</v>
      </c>
      <c r="H9" s="4">
        <v>2300</v>
      </c>
      <c r="I9" s="4">
        <v>42000</v>
      </c>
      <c r="J9" s="4">
        <v>60902000</v>
      </c>
    </row>
    <row r="10" spans="1:10" x14ac:dyDescent="0.45">
      <c r="A10" s="2" t="s">
        <v>29</v>
      </c>
      <c r="B10" s="2" t="s">
        <v>19</v>
      </c>
      <c r="C10" s="2" t="s">
        <v>11</v>
      </c>
      <c r="D10" s="2" t="s">
        <v>22</v>
      </c>
      <c r="E10" s="3">
        <v>352</v>
      </c>
      <c r="F10" s="4">
        <v>65830000</v>
      </c>
      <c r="G10" s="2" t="s">
        <v>13</v>
      </c>
      <c r="H10" s="4">
        <v>26500</v>
      </c>
      <c r="I10" s="4">
        <v>48000</v>
      </c>
      <c r="J10" s="4">
        <v>1038266000</v>
      </c>
    </row>
    <row r="11" spans="1:10" x14ac:dyDescent="0.45">
      <c r="A11" s="2" t="s">
        <v>30</v>
      </c>
      <c r="B11" s="2" t="s">
        <v>24</v>
      </c>
      <c r="C11" s="2" t="s">
        <v>16</v>
      </c>
      <c r="D11" s="2" t="s">
        <v>17</v>
      </c>
      <c r="E11" s="3">
        <v>296</v>
      </c>
      <c r="F11" s="4">
        <v>42180000</v>
      </c>
      <c r="G11" s="2"/>
      <c r="H11" s="4">
        <v>72900</v>
      </c>
      <c r="I11" s="4">
        <v>24000</v>
      </c>
      <c r="J11" s="4">
        <v>1470057600</v>
      </c>
    </row>
    <row r="12" spans="1:10" x14ac:dyDescent="0.45">
      <c r="A12" s="2" t="s">
        <v>31</v>
      </c>
      <c r="B12" s="2" t="s">
        <v>24</v>
      </c>
      <c r="C12" s="2" t="s">
        <v>11</v>
      </c>
      <c r="D12" s="2" t="s">
        <v>17</v>
      </c>
      <c r="E12" s="3">
        <v>416</v>
      </c>
      <c r="F12" s="4">
        <v>33720000</v>
      </c>
      <c r="G12" s="2"/>
      <c r="H12" s="4">
        <v>10400</v>
      </c>
      <c r="I12" s="4">
        <v>33000</v>
      </c>
      <c r="J12" s="4">
        <v>270542400</v>
      </c>
    </row>
    <row r="13" spans="1:10" x14ac:dyDescent="0.45">
      <c r="A13" s="2" t="s">
        <v>32</v>
      </c>
      <c r="B13" s="2" t="s">
        <v>24</v>
      </c>
      <c r="C13" s="2" t="s">
        <v>33</v>
      </c>
      <c r="D13" s="2" t="s">
        <v>26</v>
      </c>
      <c r="E13" s="3">
        <v>392</v>
      </c>
      <c r="F13" s="4">
        <v>31540000</v>
      </c>
      <c r="G13" s="2"/>
      <c r="H13" s="4">
        <v>33600</v>
      </c>
      <c r="I13" s="4">
        <v>26000</v>
      </c>
      <c r="J13" s="4">
        <v>684005600</v>
      </c>
    </row>
    <row r="14" spans="1:10" x14ac:dyDescent="0.45">
      <c r="A14" s="2" t="s">
        <v>34</v>
      </c>
      <c r="B14" s="2" t="s">
        <v>15</v>
      </c>
      <c r="C14" s="2" t="s">
        <v>25</v>
      </c>
      <c r="D14" s="2" t="s">
        <v>22</v>
      </c>
      <c r="E14" s="3">
        <v>584</v>
      </c>
      <c r="F14" s="4">
        <v>35680000</v>
      </c>
      <c r="G14" s="2"/>
      <c r="H14" s="4">
        <v>14400</v>
      </c>
      <c r="I14" s="4">
        <v>42000</v>
      </c>
      <c r="J14" s="4">
        <v>426156800</v>
      </c>
    </row>
    <row r="15" spans="1:10" x14ac:dyDescent="0.45">
      <c r="A15" s="2" t="s">
        <v>35</v>
      </c>
      <c r="B15" s="2" t="s">
        <v>10</v>
      </c>
      <c r="C15" s="2" t="s">
        <v>16</v>
      </c>
      <c r="D15" s="2" t="s">
        <v>26</v>
      </c>
      <c r="E15" s="3">
        <v>360</v>
      </c>
      <c r="F15" s="4">
        <v>66950000</v>
      </c>
      <c r="G15" s="2" t="s">
        <v>13</v>
      </c>
      <c r="H15" s="4">
        <v>66800</v>
      </c>
      <c r="I15" s="4">
        <v>40000</v>
      </c>
      <c r="J15" s="4">
        <v>2316474000</v>
      </c>
    </row>
    <row r="16" spans="1:10" x14ac:dyDescent="0.45">
      <c r="A16" s="2" t="s">
        <v>36</v>
      </c>
      <c r="B16" s="2" t="s">
        <v>19</v>
      </c>
      <c r="C16" s="2" t="s">
        <v>25</v>
      </c>
      <c r="D16" s="2" t="s">
        <v>22</v>
      </c>
      <c r="E16" s="3">
        <v>256</v>
      </c>
      <c r="F16" s="4">
        <v>12500000</v>
      </c>
      <c r="G16" s="2"/>
      <c r="H16" s="4">
        <v>31700</v>
      </c>
      <c r="I16" s="4">
        <v>35000</v>
      </c>
      <c r="J16" s="4">
        <v>942811200</v>
      </c>
    </row>
    <row r="17" spans="1:10" x14ac:dyDescent="0.45">
      <c r="A17" s="2" t="s">
        <v>37</v>
      </c>
      <c r="B17" s="2" t="s">
        <v>24</v>
      </c>
      <c r="C17" s="2" t="s">
        <v>25</v>
      </c>
      <c r="D17" s="2" t="s">
        <v>22</v>
      </c>
      <c r="E17" s="3">
        <v>400</v>
      </c>
      <c r="F17" s="4">
        <v>57410000</v>
      </c>
      <c r="G17" s="2"/>
      <c r="H17" s="4">
        <v>4200</v>
      </c>
      <c r="I17" s="4">
        <v>16000</v>
      </c>
      <c r="J17" s="4">
        <v>-20450000</v>
      </c>
    </row>
    <row r="18" spans="1:10" x14ac:dyDescent="0.45">
      <c r="A18" s="2" t="s">
        <v>38</v>
      </c>
      <c r="B18" s="2" t="s">
        <v>24</v>
      </c>
      <c r="C18" s="2" t="s">
        <v>33</v>
      </c>
      <c r="D18" s="2" t="s">
        <v>12</v>
      </c>
      <c r="E18" s="3">
        <v>424</v>
      </c>
      <c r="F18" s="4">
        <v>14210000</v>
      </c>
      <c r="G18" s="2" t="s">
        <v>13</v>
      </c>
      <c r="H18" s="4">
        <v>69400</v>
      </c>
      <c r="I18" s="4">
        <v>26000</v>
      </c>
      <c r="J18" s="4">
        <v>1260529200</v>
      </c>
    </row>
    <row r="19" spans="1:10" x14ac:dyDescent="0.45">
      <c r="A19" s="2" t="s">
        <v>39</v>
      </c>
      <c r="B19" s="2" t="s">
        <v>10</v>
      </c>
      <c r="C19" s="2" t="s">
        <v>33</v>
      </c>
      <c r="D19" s="2" t="s">
        <v>12</v>
      </c>
      <c r="E19" s="3">
        <v>576</v>
      </c>
      <c r="F19" s="4">
        <v>31570000</v>
      </c>
      <c r="G19" s="2" t="s">
        <v>13</v>
      </c>
      <c r="H19" s="4">
        <v>71300</v>
      </c>
      <c r="I19" s="4">
        <v>10000</v>
      </c>
      <c r="J19" s="4">
        <v>-16739600</v>
      </c>
    </row>
    <row r="20" spans="1:10" x14ac:dyDescent="0.45">
      <c r="A20" s="2" t="s">
        <v>40</v>
      </c>
      <c r="B20" s="2" t="s">
        <v>15</v>
      </c>
      <c r="C20" s="2" t="s">
        <v>11</v>
      </c>
      <c r="D20" s="2" t="s">
        <v>22</v>
      </c>
      <c r="E20" s="3">
        <v>392</v>
      </c>
      <c r="F20" s="4">
        <v>30210000</v>
      </c>
      <c r="G20" s="2" t="s">
        <v>13</v>
      </c>
      <c r="H20" s="4">
        <v>13200</v>
      </c>
      <c r="I20" s="4">
        <v>31000</v>
      </c>
      <c r="J20" s="4">
        <v>285850800</v>
      </c>
    </row>
    <row r="21" spans="1:10" x14ac:dyDescent="0.45">
      <c r="A21" s="2" t="s">
        <v>41</v>
      </c>
      <c r="B21" s="2" t="s">
        <v>10</v>
      </c>
      <c r="C21" s="2" t="s">
        <v>25</v>
      </c>
      <c r="D21" s="2" t="s">
        <v>26</v>
      </c>
      <c r="E21" s="3">
        <v>472</v>
      </c>
      <c r="F21" s="4">
        <v>15060000</v>
      </c>
      <c r="G21" s="2"/>
      <c r="H21" s="4">
        <v>36800</v>
      </c>
      <c r="I21" s="4">
        <v>22000</v>
      </c>
      <c r="J21" s="4">
        <v>620844000</v>
      </c>
    </row>
    <row r="22" spans="1:10" x14ac:dyDescent="0.45">
      <c r="A22" s="2" t="s">
        <v>42</v>
      </c>
      <c r="B22" s="2" t="s">
        <v>10</v>
      </c>
      <c r="C22" s="2" t="s">
        <v>33</v>
      </c>
      <c r="D22" s="2" t="s">
        <v>22</v>
      </c>
      <c r="E22" s="3">
        <v>408</v>
      </c>
      <c r="F22" s="4">
        <v>16300000</v>
      </c>
      <c r="G22" s="2" t="s">
        <v>13</v>
      </c>
      <c r="H22" s="4">
        <v>12600</v>
      </c>
      <c r="I22" s="4">
        <v>50000</v>
      </c>
      <c r="J22" s="4">
        <v>526306400</v>
      </c>
    </row>
    <row r="23" spans="1:10" x14ac:dyDescent="0.45">
      <c r="A23" s="2" t="s">
        <v>43</v>
      </c>
      <c r="B23" s="2" t="s">
        <v>10</v>
      </c>
      <c r="C23" s="2" t="s">
        <v>33</v>
      </c>
      <c r="D23" s="2" t="s">
        <v>26</v>
      </c>
      <c r="E23" s="3">
        <v>264</v>
      </c>
      <c r="F23" s="4">
        <v>13690000</v>
      </c>
      <c r="G23" s="2"/>
      <c r="H23" s="4">
        <v>33500</v>
      </c>
      <c r="I23" s="4">
        <v>46000</v>
      </c>
      <c r="J23" s="4">
        <v>1412338000</v>
      </c>
    </row>
    <row r="24" spans="1:10" x14ac:dyDescent="0.45">
      <c r="A24" s="2" t="s">
        <v>44</v>
      </c>
      <c r="B24" s="2" t="s">
        <v>19</v>
      </c>
      <c r="C24" s="2" t="s">
        <v>25</v>
      </c>
      <c r="D24" s="2" t="s">
        <v>17</v>
      </c>
      <c r="E24" s="3">
        <v>256</v>
      </c>
      <c r="F24" s="4">
        <v>50730000</v>
      </c>
      <c r="G24" s="2"/>
      <c r="H24" s="4">
        <v>57900</v>
      </c>
      <c r="I24" s="4">
        <v>28000</v>
      </c>
      <c r="J24" s="4">
        <v>1407423600</v>
      </c>
    </row>
    <row r="25" spans="1:10" x14ac:dyDescent="0.45">
      <c r="A25" s="2" t="s">
        <v>45</v>
      </c>
      <c r="B25" s="2" t="s">
        <v>15</v>
      </c>
      <c r="C25" s="2" t="s">
        <v>16</v>
      </c>
      <c r="D25" s="2" t="s">
        <v>22</v>
      </c>
      <c r="E25" s="3">
        <v>536</v>
      </c>
      <c r="F25" s="4">
        <v>45060000</v>
      </c>
      <c r="G25" s="2"/>
      <c r="H25" s="4">
        <v>71100</v>
      </c>
      <c r="I25" s="4">
        <v>40000</v>
      </c>
      <c r="J25" s="4">
        <v>2151076800</v>
      </c>
    </row>
    <row r="26" spans="1:10" x14ac:dyDescent="0.45">
      <c r="A26" s="2" t="s">
        <v>46</v>
      </c>
      <c r="B26" s="2" t="s">
        <v>19</v>
      </c>
      <c r="C26" s="2" t="s">
        <v>33</v>
      </c>
      <c r="D26" s="2" t="s">
        <v>22</v>
      </c>
      <c r="E26" s="3">
        <v>296</v>
      </c>
      <c r="F26" s="4">
        <v>25880000</v>
      </c>
      <c r="G26" s="2"/>
      <c r="H26" s="4">
        <v>2600</v>
      </c>
      <c r="I26" s="4">
        <v>44000</v>
      </c>
      <c r="J26" s="4">
        <v>73897600</v>
      </c>
    </row>
    <row r="27" spans="1:10" x14ac:dyDescent="0.45">
      <c r="A27" s="2" t="s">
        <v>47</v>
      </c>
      <c r="B27" s="2" t="s">
        <v>15</v>
      </c>
      <c r="C27" s="2" t="s">
        <v>25</v>
      </c>
      <c r="D27" s="2" t="s">
        <v>26</v>
      </c>
      <c r="E27" s="3">
        <v>560</v>
      </c>
      <c r="F27" s="4">
        <v>48810000</v>
      </c>
      <c r="G27" s="2" t="s">
        <v>13</v>
      </c>
      <c r="H27" s="4">
        <v>43100</v>
      </c>
      <c r="I27" s="4">
        <v>8000</v>
      </c>
      <c r="J27" s="4">
        <v>78766000</v>
      </c>
    </row>
    <row r="28" spans="1:10" x14ac:dyDescent="0.45">
      <c r="A28" s="2" t="s">
        <v>48</v>
      </c>
      <c r="B28" s="2" t="s">
        <v>10</v>
      </c>
      <c r="C28" s="2" t="s">
        <v>11</v>
      </c>
      <c r="D28" s="2" t="s">
        <v>26</v>
      </c>
      <c r="E28" s="3">
        <v>456</v>
      </c>
      <c r="F28" s="4">
        <v>30340000</v>
      </c>
      <c r="G28" s="2"/>
      <c r="H28" s="4">
        <v>71200</v>
      </c>
      <c r="I28" s="4">
        <v>41000</v>
      </c>
      <c r="J28" s="4">
        <v>2564188000</v>
      </c>
    </row>
    <row r="29" spans="1:10" x14ac:dyDescent="0.45">
      <c r="A29" s="2" t="s">
        <v>49</v>
      </c>
      <c r="B29" s="2" t="s">
        <v>10</v>
      </c>
      <c r="C29" s="2" t="s">
        <v>25</v>
      </c>
      <c r="D29" s="2" t="s">
        <v>22</v>
      </c>
      <c r="E29" s="3">
        <v>328</v>
      </c>
      <c r="F29" s="4">
        <v>67060000</v>
      </c>
      <c r="G29" s="2"/>
      <c r="H29" s="4">
        <v>1300</v>
      </c>
      <c r="I29" s="4">
        <v>23000</v>
      </c>
      <c r="J29" s="4">
        <v>-44835200</v>
      </c>
    </row>
    <row r="30" spans="1:10" x14ac:dyDescent="0.45">
      <c r="A30" s="2" t="s">
        <v>50</v>
      </c>
      <c r="B30" s="2" t="s">
        <v>10</v>
      </c>
      <c r="C30" s="2" t="s">
        <v>11</v>
      </c>
      <c r="D30" s="2" t="s">
        <v>17</v>
      </c>
      <c r="E30" s="3">
        <v>520</v>
      </c>
      <c r="F30" s="4">
        <v>38300000</v>
      </c>
      <c r="G30" s="2" t="s">
        <v>13</v>
      </c>
      <c r="H30" s="4">
        <v>25500</v>
      </c>
      <c r="I30" s="4">
        <v>12000</v>
      </c>
      <c r="J30" s="4">
        <v>148360000</v>
      </c>
    </row>
    <row r="31" spans="1:10" x14ac:dyDescent="0.45">
      <c r="A31" s="2" t="s">
        <v>51</v>
      </c>
      <c r="B31" s="2" t="s">
        <v>10</v>
      </c>
      <c r="C31" s="2" t="s">
        <v>25</v>
      </c>
      <c r="D31" s="2" t="s">
        <v>22</v>
      </c>
      <c r="E31" s="3">
        <v>576</v>
      </c>
      <c r="F31" s="4">
        <v>62910000</v>
      </c>
      <c r="G31" s="2"/>
      <c r="H31" s="4">
        <v>17000</v>
      </c>
      <c r="I31" s="4">
        <v>10000</v>
      </c>
      <c r="J31" s="4">
        <v>-59374000</v>
      </c>
    </row>
    <row r="32" spans="1:10" x14ac:dyDescent="0.45">
      <c r="A32" s="2" t="s">
        <v>52</v>
      </c>
      <c r="B32" s="2" t="s">
        <v>15</v>
      </c>
      <c r="C32" s="2" t="s">
        <v>33</v>
      </c>
      <c r="D32" s="2" t="s">
        <v>12</v>
      </c>
      <c r="E32" s="3">
        <v>576</v>
      </c>
      <c r="F32" s="4">
        <v>22830000</v>
      </c>
      <c r="G32" s="2"/>
      <c r="H32" s="4">
        <v>4800</v>
      </c>
      <c r="I32" s="4">
        <v>11000</v>
      </c>
      <c r="J32" s="4">
        <v>-17031600</v>
      </c>
    </row>
    <row r="33" spans="1:10" x14ac:dyDescent="0.45">
      <c r="A33" s="2" t="s">
        <v>53</v>
      </c>
      <c r="B33" s="2" t="s">
        <v>15</v>
      </c>
      <c r="C33" s="2" t="s">
        <v>25</v>
      </c>
      <c r="D33" s="2" t="s">
        <v>17</v>
      </c>
      <c r="E33" s="3">
        <v>256</v>
      </c>
      <c r="F33" s="4">
        <v>45250000</v>
      </c>
      <c r="G33" s="2" t="s">
        <v>13</v>
      </c>
      <c r="H33" s="4">
        <v>10100</v>
      </c>
      <c r="I33" s="4">
        <v>38000</v>
      </c>
      <c r="J33" s="4">
        <v>310108400</v>
      </c>
    </row>
    <row r="34" spans="1:10" x14ac:dyDescent="0.45">
      <c r="A34" s="2" t="s">
        <v>54</v>
      </c>
      <c r="B34" s="2" t="s">
        <v>19</v>
      </c>
      <c r="C34" s="2" t="s">
        <v>16</v>
      </c>
      <c r="D34" s="2" t="s">
        <v>22</v>
      </c>
      <c r="E34" s="3">
        <v>408</v>
      </c>
      <c r="F34" s="4">
        <v>51580000</v>
      </c>
      <c r="G34" s="2" t="s">
        <v>13</v>
      </c>
      <c r="H34" s="4">
        <v>28500</v>
      </c>
      <c r="I34" s="4">
        <v>50000</v>
      </c>
      <c r="J34" s="4">
        <v>1175744000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B134E-4508-4FC3-B6BA-814260A7DCD8}">
  <sheetPr codeName="Sheet3"/>
  <dimension ref="A1:G17"/>
  <sheetViews>
    <sheetView workbookViewId="0">
      <selection activeCell="F5" sqref="F5"/>
    </sheetView>
  </sheetViews>
  <sheetFormatPr defaultRowHeight="17" x14ac:dyDescent="0.45"/>
  <cols>
    <col min="1" max="4" width="9"/>
    <col min="5" max="5" width="11" bestFit="1" customWidth="1"/>
  </cols>
  <sheetData>
    <row r="1" spans="1:7" x14ac:dyDescent="0.45">
      <c r="A1" s="5"/>
      <c r="B1" s="5"/>
      <c r="C1" s="5"/>
      <c r="D1" s="5"/>
      <c r="E1" s="5"/>
      <c r="F1" s="5"/>
      <c r="G1" s="5"/>
    </row>
    <row r="2" spans="1:7" x14ac:dyDescent="0.45">
      <c r="A2" s="5"/>
      <c r="B2" s="5"/>
      <c r="C2" s="5"/>
      <c r="D2" s="5"/>
      <c r="E2" s="5"/>
      <c r="F2" s="5"/>
      <c r="G2" s="5"/>
    </row>
    <row r="3" spans="1:7" x14ac:dyDescent="0.45">
      <c r="A3" s="5"/>
      <c r="B3" s="5"/>
      <c r="C3" s="5"/>
      <c r="D3" s="5"/>
      <c r="E3" s="5"/>
      <c r="F3" s="5"/>
      <c r="G3" s="5"/>
    </row>
    <row r="4" spans="1:7" x14ac:dyDescent="0.45">
      <c r="A4" s="5"/>
      <c r="B4" s="5"/>
      <c r="C4" s="5"/>
      <c r="D4" s="5"/>
      <c r="E4" s="5"/>
      <c r="F4" s="5"/>
      <c r="G4" s="5"/>
    </row>
    <row r="5" spans="1:7" x14ac:dyDescent="0.45">
      <c r="A5" s="6" t="s">
        <v>56</v>
      </c>
      <c r="B5" s="6" t="s">
        <v>57</v>
      </c>
      <c r="C5" s="6" t="s">
        <v>58</v>
      </c>
      <c r="D5" s="6" t="s">
        <v>59</v>
      </c>
      <c r="E5" s="6" t="s">
        <v>60</v>
      </c>
      <c r="F5" s="6" t="s">
        <v>61</v>
      </c>
      <c r="G5" s="6" t="s">
        <v>62</v>
      </c>
    </row>
    <row r="6" spans="1:7" x14ac:dyDescent="0.45">
      <c r="A6" s="6" t="s">
        <v>63</v>
      </c>
      <c r="B6" s="6">
        <v>90</v>
      </c>
      <c r="C6" s="6">
        <v>20</v>
      </c>
      <c r="D6" s="6">
        <v>90</v>
      </c>
      <c r="E6" s="6">
        <v>40</v>
      </c>
      <c r="F6" s="6">
        <v>70</v>
      </c>
      <c r="G6" s="6">
        <f>SUM(B6:F6)</f>
        <v>310</v>
      </c>
    </row>
    <row r="7" spans="1:7" x14ac:dyDescent="0.45">
      <c r="A7" s="6" t="s">
        <v>64</v>
      </c>
      <c r="B7" s="6">
        <v>40</v>
      </c>
      <c r="C7" s="6">
        <v>100</v>
      </c>
      <c r="D7" s="6">
        <v>60</v>
      </c>
      <c r="E7" s="6">
        <v>80</v>
      </c>
      <c r="F7" s="6">
        <v>20</v>
      </c>
      <c r="G7" s="6">
        <f>SUM(B7:F7)</f>
        <v>300</v>
      </c>
    </row>
    <row r="8" spans="1:7" x14ac:dyDescent="0.45">
      <c r="A8" s="6" t="s">
        <v>65</v>
      </c>
      <c r="B8" s="6">
        <v>100</v>
      </c>
      <c r="C8" s="6">
        <v>50</v>
      </c>
      <c r="D8" s="6">
        <v>20</v>
      </c>
      <c r="E8" s="6">
        <v>90</v>
      </c>
      <c r="F8" s="6">
        <v>50</v>
      </c>
      <c r="G8" s="6">
        <f>SUM(B8:F8)</f>
        <v>310</v>
      </c>
    </row>
    <row r="9" spans="1:7" x14ac:dyDescent="0.45">
      <c r="A9" s="6" t="s">
        <v>66</v>
      </c>
      <c r="B9" s="6">
        <v>80</v>
      </c>
      <c r="C9" s="6">
        <v>10</v>
      </c>
      <c r="D9" s="6">
        <v>100</v>
      </c>
      <c r="E9" s="6">
        <v>50</v>
      </c>
      <c r="F9" s="6">
        <v>40</v>
      </c>
      <c r="G9" s="6">
        <f>SUM(B9:F9)</f>
        <v>280</v>
      </c>
    </row>
    <row r="10" spans="1:7" x14ac:dyDescent="0.45">
      <c r="A10" s="6" t="s">
        <v>67</v>
      </c>
      <c r="B10" s="6">
        <v>10</v>
      </c>
      <c r="C10" s="6">
        <v>90</v>
      </c>
      <c r="D10" s="6">
        <v>40</v>
      </c>
      <c r="E10" s="6">
        <v>10</v>
      </c>
      <c r="F10" s="6">
        <v>80</v>
      </c>
      <c r="G10" s="6">
        <f>SUM(B10:F10)</f>
        <v>230</v>
      </c>
    </row>
    <row r="11" spans="1:7" x14ac:dyDescent="0.45">
      <c r="A11" s="6" t="s">
        <v>68</v>
      </c>
      <c r="B11" s="6">
        <v>60</v>
      </c>
      <c r="C11" s="6">
        <v>30</v>
      </c>
      <c r="D11" s="6">
        <v>80</v>
      </c>
      <c r="E11" s="6">
        <v>60</v>
      </c>
      <c r="F11" s="6">
        <v>100</v>
      </c>
      <c r="G11" s="6">
        <f>SUM(B11:F11)</f>
        <v>330</v>
      </c>
    </row>
    <row r="12" spans="1:7" x14ac:dyDescent="0.45">
      <c r="A12" s="6" t="s">
        <v>69</v>
      </c>
      <c r="B12" s="6">
        <v>50</v>
      </c>
      <c r="C12" s="6">
        <v>80</v>
      </c>
      <c r="D12" s="6">
        <v>30</v>
      </c>
      <c r="E12" s="6">
        <v>20</v>
      </c>
      <c r="F12" s="6">
        <v>10</v>
      </c>
      <c r="G12" s="6">
        <f>SUM(B12:F12)</f>
        <v>190</v>
      </c>
    </row>
    <row r="13" spans="1:7" x14ac:dyDescent="0.45">
      <c r="A13" s="6" t="s">
        <v>70</v>
      </c>
      <c r="B13" s="6">
        <v>10</v>
      </c>
      <c r="C13" s="6">
        <v>10</v>
      </c>
      <c r="D13" s="6">
        <v>10</v>
      </c>
      <c r="E13" s="6">
        <v>100</v>
      </c>
      <c r="F13" s="6">
        <v>30</v>
      </c>
      <c r="G13" s="6">
        <f>SUM(B13:F13)</f>
        <v>160</v>
      </c>
    </row>
    <row r="14" spans="1:7" x14ac:dyDescent="0.45">
      <c r="A14" s="6" t="s">
        <v>71</v>
      </c>
      <c r="B14" s="6">
        <v>70</v>
      </c>
      <c r="C14" s="6">
        <v>40</v>
      </c>
      <c r="D14" s="6">
        <v>70</v>
      </c>
      <c r="E14" s="6">
        <v>30</v>
      </c>
      <c r="F14" s="6">
        <v>10</v>
      </c>
      <c r="G14" s="6">
        <f>SUM(B14:F14)</f>
        <v>220</v>
      </c>
    </row>
    <row r="15" spans="1:7" x14ac:dyDescent="0.45">
      <c r="A15" s="6" t="s">
        <v>72</v>
      </c>
      <c r="B15" s="6">
        <v>10</v>
      </c>
      <c r="C15" s="6">
        <v>70</v>
      </c>
      <c r="D15" s="6">
        <v>10</v>
      </c>
      <c r="E15" s="6">
        <v>10</v>
      </c>
      <c r="F15" s="6">
        <v>90</v>
      </c>
      <c r="G15" s="6">
        <f>SUM(B15:F15)</f>
        <v>190</v>
      </c>
    </row>
    <row r="16" spans="1:7" x14ac:dyDescent="0.45">
      <c r="A16" s="6" t="s">
        <v>73</v>
      </c>
      <c r="B16" s="6">
        <v>20</v>
      </c>
      <c r="C16" s="6">
        <v>10</v>
      </c>
      <c r="D16" s="6">
        <v>10</v>
      </c>
      <c r="E16" s="6">
        <v>10</v>
      </c>
      <c r="F16" s="6">
        <v>60</v>
      </c>
      <c r="G16" s="6">
        <f>SUM(B16:F16)</f>
        <v>110</v>
      </c>
    </row>
    <row r="17" spans="1:7" x14ac:dyDescent="0.45">
      <c r="A17" s="6" t="s">
        <v>74</v>
      </c>
      <c r="B17" s="6">
        <v>30</v>
      </c>
      <c r="C17" s="6">
        <v>60</v>
      </c>
      <c r="D17" s="6">
        <v>50</v>
      </c>
      <c r="E17" s="6">
        <v>70</v>
      </c>
      <c r="F17" s="6">
        <v>10</v>
      </c>
      <c r="G17" s="6">
        <f>SUM(B17:F17)</f>
        <v>220</v>
      </c>
    </row>
  </sheetData>
  <phoneticPr fontId="1" type="noConversion"/>
  <pageMargins left="0.7" right="0.7" top="0.75" bottom="0.75" header="0.3" footer="0.3"/>
  <ignoredErrors>
    <ignoredError sqref="G6:G17" unlocked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32EA-0BF4-4479-96BF-2AAAC6221D87}">
  <sheetPr codeName="Sheet4"/>
  <dimension ref="A1:R35"/>
  <sheetViews>
    <sheetView workbookViewId="0">
      <selection activeCell="J16" sqref="J16"/>
    </sheetView>
  </sheetViews>
  <sheetFormatPr defaultRowHeight="17" x14ac:dyDescent="0.45"/>
  <cols>
    <col min="1" max="1" width="11.5" customWidth="1"/>
    <col min="2" max="2" width="5.5" bestFit="1" customWidth="1"/>
    <col min="3" max="3" width="10.33203125" customWidth="1"/>
    <col min="4" max="4" width="9" bestFit="1" customWidth="1"/>
    <col min="5" max="5" width="7.5" customWidth="1"/>
    <col min="6" max="6" width="11.83203125" bestFit="1" customWidth="1"/>
    <col min="7" max="7" width="8" bestFit="1" customWidth="1"/>
    <col min="8" max="8" width="9.25" customWidth="1"/>
    <col min="9" max="9" width="9.25" bestFit="1" customWidth="1"/>
    <col min="10" max="10" width="14.58203125" bestFit="1" customWidth="1"/>
    <col min="11" max="11" width="8.58203125" bestFit="1" customWidth="1"/>
    <col min="12" max="12" width="3.08203125" customWidth="1"/>
    <col min="13" max="13" width="13.08203125" customWidth="1"/>
    <col min="14" max="14" width="15.33203125" customWidth="1"/>
    <col min="15" max="15" width="20" bestFit="1" customWidth="1"/>
    <col min="16" max="16" width="7.5" bestFit="1" customWidth="1"/>
    <col min="17" max="17" width="9" bestFit="1" customWidth="1"/>
    <col min="18" max="18" width="5" bestFit="1" customWidth="1"/>
  </cols>
  <sheetData>
    <row r="1" spans="1:18" x14ac:dyDescent="0.45">
      <c r="A1" t="s">
        <v>75</v>
      </c>
    </row>
    <row r="2" spans="1:18" x14ac:dyDescent="0.4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55</v>
      </c>
      <c r="H2" s="1" t="s">
        <v>6</v>
      </c>
      <c r="I2" s="1" t="s">
        <v>7</v>
      </c>
      <c r="J2" s="7" t="s">
        <v>8</v>
      </c>
      <c r="K2" s="7" t="s">
        <v>76</v>
      </c>
      <c r="M2" s="8" t="s">
        <v>77</v>
      </c>
    </row>
    <row r="3" spans="1:18" x14ac:dyDescent="0.45">
      <c r="A3" s="2" t="s">
        <v>9</v>
      </c>
      <c r="B3" s="2" t="s">
        <v>10</v>
      </c>
      <c r="C3" s="2" t="s">
        <v>11</v>
      </c>
      <c r="D3" s="2" t="s">
        <v>12</v>
      </c>
      <c r="E3" s="3">
        <v>352</v>
      </c>
      <c r="F3" s="4">
        <v>26620000</v>
      </c>
      <c r="G3" s="2" t="s">
        <v>13</v>
      </c>
      <c r="H3" s="4">
        <v>65600</v>
      </c>
      <c r="I3" s="4">
        <v>30000</v>
      </c>
      <c r="J3" s="4"/>
      <c r="K3" s="2"/>
      <c r="M3" s="12" t="s">
        <v>78</v>
      </c>
      <c r="N3" s="2">
        <v>0</v>
      </c>
      <c r="O3" s="2">
        <v>201</v>
      </c>
      <c r="P3" s="2">
        <v>301</v>
      </c>
      <c r="Q3" s="2">
        <v>401</v>
      </c>
      <c r="R3" s="2">
        <v>501</v>
      </c>
    </row>
    <row r="4" spans="1:18" x14ac:dyDescent="0.45">
      <c r="A4" s="2" t="s">
        <v>14</v>
      </c>
      <c r="B4" s="2" t="s">
        <v>15</v>
      </c>
      <c r="C4" s="2" t="s">
        <v>16</v>
      </c>
      <c r="D4" s="2" t="s">
        <v>17</v>
      </c>
      <c r="E4" s="3">
        <v>544</v>
      </c>
      <c r="F4" s="4">
        <v>44860000</v>
      </c>
      <c r="G4" s="2"/>
      <c r="H4" s="4">
        <v>44900</v>
      </c>
      <c r="I4" s="4">
        <v>32000</v>
      </c>
      <c r="J4" s="4"/>
      <c r="K4" s="2"/>
      <c r="M4" s="13"/>
      <c r="N4" s="2">
        <v>200</v>
      </c>
      <c r="O4" s="2">
        <v>300</v>
      </c>
      <c r="P4" s="2">
        <v>400</v>
      </c>
      <c r="Q4" s="2">
        <v>500</v>
      </c>
      <c r="R4" s="2"/>
    </row>
    <row r="5" spans="1:18" x14ac:dyDescent="0.45">
      <c r="A5" s="2" t="s">
        <v>18</v>
      </c>
      <c r="B5" s="2" t="s">
        <v>19</v>
      </c>
      <c r="C5" s="2" t="s">
        <v>11</v>
      </c>
      <c r="D5" s="2" t="s">
        <v>17</v>
      </c>
      <c r="E5" s="3">
        <v>496</v>
      </c>
      <c r="F5" s="4">
        <v>36490000</v>
      </c>
      <c r="G5" s="2"/>
      <c r="H5" s="4">
        <v>17700</v>
      </c>
      <c r="I5" s="4">
        <v>25000</v>
      </c>
      <c r="J5" s="4"/>
      <c r="K5" s="2"/>
      <c r="M5" s="9" t="s">
        <v>12</v>
      </c>
      <c r="N5" s="4">
        <v>22</v>
      </c>
      <c r="O5" s="4">
        <v>20</v>
      </c>
      <c r="P5" s="4">
        <v>19</v>
      </c>
      <c r="Q5" s="4">
        <v>18</v>
      </c>
      <c r="R5" s="4">
        <v>17</v>
      </c>
    </row>
    <row r="6" spans="1:18" x14ac:dyDescent="0.45">
      <c r="A6" s="2" t="s">
        <v>20</v>
      </c>
      <c r="B6" s="2" t="s">
        <v>15</v>
      </c>
      <c r="C6" s="2" t="s">
        <v>16</v>
      </c>
      <c r="D6" s="2" t="s">
        <v>12</v>
      </c>
      <c r="E6" s="3">
        <v>512</v>
      </c>
      <c r="F6" s="4">
        <v>62220000</v>
      </c>
      <c r="G6" s="2" t="s">
        <v>13</v>
      </c>
      <c r="H6" s="4">
        <v>12500</v>
      </c>
      <c r="I6" s="4">
        <v>16000</v>
      </c>
      <c r="J6" s="4"/>
      <c r="K6" s="2"/>
      <c r="M6" s="9" t="s">
        <v>22</v>
      </c>
      <c r="N6" s="4">
        <v>20</v>
      </c>
      <c r="O6" s="4">
        <v>19</v>
      </c>
      <c r="P6" s="4">
        <v>18</v>
      </c>
      <c r="Q6" s="4">
        <v>17</v>
      </c>
      <c r="R6" s="4">
        <v>17</v>
      </c>
    </row>
    <row r="7" spans="1:18" x14ac:dyDescent="0.45">
      <c r="A7" s="2" t="s">
        <v>21</v>
      </c>
      <c r="B7" s="2" t="s">
        <v>10</v>
      </c>
      <c r="C7" s="2" t="s">
        <v>11</v>
      </c>
      <c r="D7" s="2" t="s">
        <v>22</v>
      </c>
      <c r="E7" s="3">
        <v>352</v>
      </c>
      <c r="F7" s="4">
        <v>43760000</v>
      </c>
      <c r="G7" s="2"/>
      <c r="H7" s="4">
        <v>29600</v>
      </c>
      <c r="I7" s="4">
        <v>47000</v>
      </c>
      <c r="J7" s="4"/>
      <c r="K7" s="2"/>
      <c r="M7" s="2" t="s">
        <v>17</v>
      </c>
      <c r="N7" s="4">
        <v>12</v>
      </c>
      <c r="O7" s="4">
        <v>11</v>
      </c>
      <c r="P7" s="4">
        <v>10</v>
      </c>
      <c r="Q7" s="4">
        <v>9</v>
      </c>
      <c r="R7" s="4">
        <v>9</v>
      </c>
    </row>
    <row r="8" spans="1:18" x14ac:dyDescent="0.45">
      <c r="A8" s="2" t="s">
        <v>23</v>
      </c>
      <c r="B8" s="2" t="s">
        <v>24</v>
      </c>
      <c r="C8" s="2" t="s">
        <v>25</v>
      </c>
      <c r="D8" s="2" t="s">
        <v>26</v>
      </c>
      <c r="E8" s="3">
        <v>456</v>
      </c>
      <c r="F8" s="4">
        <v>14370000</v>
      </c>
      <c r="G8" s="2"/>
      <c r="H8" s="4">
        <v>72400</v>
      </c>
      <c r="I8" s="4">
        <v>11000</v>
      </c>
      <c r="J8" s="4"/>
      <c r="K8" s="2"/>
      <c r="M8" s="9" t="s">
        <v>26</v>
      </c>
      <c r="N8" s="4">
        <v>15</v>
      </c>
      <c r="O8" s="4">
        <v>13</v>
      </c>
      <c r="P8" s="4">
        <v>12</v>
      </c>
      <c r="Q8" s="4">
        <v>10</v>
      </c>
      <c r="R8" s="4">
        <v>9</v>
      </c>
    </row>
    <row r="9" spans="1:18" x14ac:dyDescent="0.45">
      <c r="A9" s="2" t="s">
        <v>27</v>
      </c>
      <c r="B9" s="2" t="s">
        <v>15</v>
      </c>
      <c r="C9" s="2" t="s">
        <v>16</v>
      </c>
      <c r="D9" s="2" t="s">
        <v>17</v>
      </c>
      <c r="E9" s="3">
        <v>512</v>
      </c>
      <c r="F9" s="4">
        <v>56250000</v>
      </c>
      <c r="G9" s="2"/>
      <c r="H9" s="4">
        <v>44600</v>
      </c>
      <c r="I9" s="4">
        <v>37000</v>
      </c>
      <c r="J9" s="4"/>
      <c r="K9" s="2"/>
    </row>
    <row r="10" spans="1:18" x14ac:dyDescent="0.45">
      <c r="A10" s="2" t="s">
        <v>28</v>
      </c>
      <c r="B10" s="2" t="s">
        <v>24</v>
      </c>
      <c r="C10" s="2" t="s">
        <v>25</v>
      </c>
      <c r="D10" s="2" t="s">
        <v>12</v>
      </c>
      <c r="E10" s="3">
        <v>288</v>
      </c>
      <c r="F10" s="4">
        <v>22450000</v>
      </c>
      <c r="G10" s="2" t="s">
        <v>13</v>
      </c>
      <c r="H10" s="4">
        <v>2300</v>
      </c>
      <c r="I10" s="4">
        <v>42000</v>
      </c>
      <c r="J10" s="4"/>
      <c r="K10" s="2"/>
      <c r="M10" s="8" t="s">
        <v>79</v>
      </c>
    </row>
    <row r="11" spans="1:18" x14ac:dyDescent="0.45">
      <c r="A11" s="2" t="s">
        <v>29</v>
      </c>
      <c r="B11" s="2" t="s">
        <v>19</v>
      </c>
      <c r="C11" s="2" t="s">
        <v>11</v>
      </c>
      <c r="D11" s="2" t="s">
        <v>22</v>
      </c>
      <c r="E11" s="3">
        <v>352</v>
      </c>
      <c r="F11" s="4">
        <v>65830000</v>
      </c>
      <c r="G11" s="2" t="s">
        <v>13</v>
      </c>
      <c r="H11" s="4">
        <v>26500</v>
      </c>
      <c r="I11" s="4">
        <v>48000</v>
      </c>
      <c r="J11" s="4"/>
      <c r="K11" s="2"/>
      <c r="M11" s="10" t="s">
        <v>2</v>
      </c>
      <c r="N11" s="11" t="s">
        <v>80</v>
      </c>
      <c r="O11" s="11" t="s">
        <v>81</v>
      </c>
    </row>
    <row r="12" spans="1:18" x14ac:dyDescent="0.45">
      <c r="A12" s="2" t="s">
        <v>30</v>
      </c>
      <c r="B12" s="2" t="s">
        <v>24</v>
      </c>
      <c r="C12" s="2" t="s">
        <v>16</v>
      </c>
      <c r="D12" s="2" t="s">
        <v>17</v>
      </c>
      <c r="E12" s="3">
        <v>296</v>
      </c>
      <c r="F12" s="4">
        <v>42180000</v>
      </c>
      <c r="G12" s="2"/>
      <c r="H12" s="4">
        <v>72900</v>
      </c>
      <c r="I12" s="4">
        <v>24000</v>
      </c>
      <c r="J12" s="4"/>
      <c r="K12" s="2"/>
      <c r="M12" s="2" t="s">
        <v>16</v>
      </c>
      <c r="N12" s="3"/>
      <c r="O12" s="2"/>
    </row>
    <row r="13" spans="1:18" x14ac:dyDescent="0.45">
      <c r="A13" s="2" t="s">
        <v>31</v>
      </c>
      <c r="B13" s="2" t="s">
        <v>24</v>
      </c>
      <c r="C13" s="2" t="s">
        <v>11</v>
      </c>
      <c r="D13" s="2" t="s">
        <v>17</v>
      </c>
      <c r="E13" s="3">
        <v>416</v>
      </c>
      <c r="F13" s="4">
        <v>33720000</v>
      </c>
      <c r="G13" s="2"/>
      <c r="H13" s="4">
        <v>10400</v>
      </c>
      <c r="I13" s="4">
        <v>33000</v>
      </c>
      <c r="J13" s="4"/>
      <c r="K13" s="2"/>
      <c r="M13" s="2" t="s">
        <v>25</v>
      </c>
      <c r="N13" s="3"/>
      <c r="O13" s="2"/>
    </row>
    <row r="14" spans="1:18" x14ac:dyDescent="0.45">
      <c r="A14" s="2" t="s">
        <v>32</v>
      </c>
      <c r="B14" s="2" t="s">
        <v>24</v>
      </c>
      <c r="C14" s="2" t="s">
        <v>33</v>
      </c>
      <c r="D14" s="2" t="s">
        <v>26</v>
      </c>
      <c r="E14" s="3">
        <v>392</v>
      </c>
      <c r="F14" s="4">
        <v>31540000</v>
      </c>
      <c r="G14" s="2"/>
      <c r="H14" s="4">
        <v>33600</v>
      </c>
      <c r="I14" s="4">
        <v>26000</v>
      </c>
      <c r="J14" s="4"/>
      <c r="K14" s="2"/>
      <c r="M14" s="2" t="s">
        <v>11</v>
      </c>
      <c r="N14" s="3"/>
      <c r="O14" s="2"/>
    </row>
    <row r="15" spans="1:18" x14ac:dyDescent="0.45">
      <c r="A15" s="2" t="s">
        <v>34</v>
      </c>
      <c r="B15" s="2" t="s">
        <v>15</v>
      </c>
      <c r="C15" s="2" t="s">
        <v>25</v>
      </c>
      <c r="D15" s="2" t="s">
        <v>22</v>
      </c>
      <c r="E15" s="3">
        <v>584</v>
      </c>
      <c r="F15" s="4">
        <v>35680000</v>
      </c>
      <c r="G15" s="2"/>
      <c r="H15" s="4">
        <v>14400</v>
      </c>
      <c r="I15" s="4">
        <v>42000</v>
      </c>
      <c r="J15" s="4"/>
      <c r="K15" s="2"/>
      <c r="M15" s="2" t="s">
        <v>33</v>
      </c>
      <c r="N15" s="3"/>
      <c r="O15" s="2"/>
    </row>
    <row r="16" spans="1:18" x14ac:dyDescent="0.45">
      <c r="A16" s="2" t="s">
        <v>35</v>
      </c>
      <c r="B16" s="2" t="s">
        <v>10</v>
      </c>
      <c r="C16" s="2" t="s">
        <v>16</v>
      </c>
      <c r="D16" s="2" t="s">
        <v>26</v>
      </c>
      <c r="E16" s="3">
        <v>360</v>
      </c>
      <c r="F16" s="4">
        <v>66950000</v>
      </c>
      <c r="G16" s="2" t="s">
        <v>13</v>
      </c>
      <c r="H16" s="4">
        <v>66800</v>
      </c>
      <c r="I16" s="4">
        <v>40000</v>
      </c>
      <c r="J16" s="4"/>
      <c r="K16" s="2"/>
    </row>
    <row r="17" spans="1:17" x14ac:dyDescent="0.45">
      <c r="A17" s="2" t="s">
        <v>36</v>
      </c>
      <c r="B17" s="2" t="s">
        <v>19</v>
      </c>
      <c r="C17" s="2" t="s">
        <v>25</v>
      </c>
      <c r="D17" s="2" t="s">
        <v>22</v>
      </c>
      <c r="E17" s="3">
        <v>256</v>
      </c>
      <c r="F17" s="4">
        <v>12500000</v>
      </c>
      <c r="G17" s="2"/>
      <c r="H17" s="4">
        <v>31700</v>
      </c>
      <c r="I17" s="4">
        <v>35000</v>
      </c>
      <c r="J17" s="4"/>
      <c r="K17" s="2"/>
      <c r="M17" s="8" t="s">
        <v>82</v>
      </c>
    </row>
    <row r="18" spans="1:17" x14ac:dyDescent="0.45">
      <c r="A18" s="2" t="s">
        <v>37</v>
      </c>
      <c r="B18" s="2" t="s">
        <v>24</v>
      </c>
      <c r="C18" s="2" t="s">
        <v>25</v>
      </c>
      <c r="D18" s="2" t="s">
        <v>22</v>
      </c>
      <c r="E18" s="3">
        <v>400</v>
      </c>
      <c r="F18" s="4">
        <v>57410000</v>
      </c>
      <c r="G18" s="2"/>
      <c r="H18" s="4">
        <v>15200</v>
      </c>
      <c r="I18" s="4">
        <v>16000</v>
      </c>
      <c r="J18" s="4"/>
      <c r="K18" s="2"/>
      <c r="M18" s="2" t="s">
        <v>1</v>
      </c>
      <c r="N18" s="11" t="s">
        <v>12</v>
      </c>
      <c r="O18" s="11" t="s">
        <v>22</v>
      </c>
      <c r="P18" s="11" t="s">
        <v>17</v>
      </c>
      <c r="Q18" s="11" t="s">
        <v>26</v>
      </c>
    </row>
    <row r="19" spans="1:17" x14ac:dyDescent="0.45">
      <c r="A19" s="2" t="s">
        <v>38</v>
      </c>
      <c r="B19" s="2" t="s">
        <v>24</v>
      </c>
      <c r="C19" s="2" t="s">
        <v>33</v>
      </c>
      <c r="D19" s="2" t="s">
        <v>12</v>
      </c>
      <c r="E19" s="3">
        <v>424</v>
      </c>
      <c r="F19" s="4">
        <v>14210000</v>
      </c>
      <c r="G19" s="2" t="s">
        <v>13</v>
      </c>
      <c r="H19" s="4">
        <v>69400</v>
      </c>
      <c r="I19" s="4">
        <v>26000</v>
      </c>
      <c r="J19" s="4"/>
      <c r="K19" s="2"/>
      <c r="M19" s="2" t="s">
        <v>19</v>
      </c>
      <c r="N19" s="2"/>
      <c r="O19" s="2"/>
      <c r="P19" s="2"/>
      <c r="Q19" s="2"/>
    </row>
    <row r="20" spans="1:17" x14ac:dyDescent="0.45">
      <c r="A20" s="2" t="s">
        <v>39</v>
      </c>
      <c r="B20" s="2" t="s">
        <v>10</v>
      </c>
      <c r="C20" s="2" t="s">
        <v>33</v>
      </c>
      <c r="D20" s="2" t="s">
        <v>12</v>
      </c>
      <c r="E20" s="3">
        <v>576</v>
      </c>
      <c r="F20" s="4">
        <v>21570000</v>
      </c>
      <c r="G20" s="2" t="s">
        <v>13</v>
      </c>
      <c r="H20" s="4">
        <v>51300</v>
      </c>
      <c r="I20" s="4">
        <v>10000</v>
      </c>
      <c r="J20" s="4"/>
      <c r="K20" s="2"/>
      <c r="M20" s="2" t="s">
        <v>15</v>
      </c>
      <c r="N20" s="2"/>
      <c r="O20" s="2"/>
      <c r="P20" s="2"/>
      <c r="Q20" s="2"/>
    </row>
    <row r="21" spans="1:17" x14ac:dyDescent="0.45">
      <c r="A21" s="2" t="s">
        <v>40</v>
      </c>
      <c r="B21" s="2" t="s">
        <v>15</v>
      </c>
      <c r="C21" s="2" t="s">
        <v>11</v>
      </c>
      <c r="D21" s="2" t="s">
        <v>22</v>
      </c>
      <c r="E21" s="3">
        <v>392</v>
      </c>
      <c r="F21" s="4">
        <v>30210000</v>
      </c>
      <c r="G21" s="2" t="s">
        <v>13</v>
      </c>
      <c r="H21" s="4">
        <v>13200</v>
      </c>
      <c r="I21" s="4">
        <v>31000</v>
      </c>
      <c r="J21" s="4"/>
      <c r="K21" s="2"/>
      <c r="M21" s="2" t="s">
        <v>24</v>
      </c>
      <c r="N21" s="2"/>
      <c r="O21" s="2"/>
      <c r="P21" s="2"/>
      <c r="Q21" s="2"/>
    </row>
    <row r="22" spans="1:17" x14ac:dyDescent="0.45">
      <c r="A22" s="2" t="s">
        <v>41</v>
      </c>
      <c r="B22" s="2" t="s">
        <v>10</v>
      </c>
      <c r="C22" s="2" t="s">
        <v>25</v>
      </c>
      <c r="D22" s="2" t="s">
        <v>26</v>
      </c>
      <c r="E22" s="3">
        <v>472</v>
      </c>
      <c r="F22" s="4">
        <v>15060000</v>
      </c>
      <c r="G22" s="2"/>
      <c r="H22" s="4">
        <v>36800</v>
      </c>
      <c r="I22" s="4">
        <v>22000</v>
      </c>
      <c r="J22" s="4"/>
      <c r="K22" s="2"/>
      <c r="M22" s="2" t="s">
        <v>10</v>
      </c>
      <c r="N22" s="2"/>
      <c r="O22" s="2"/>
      <c r="P22" s="2"/>
      <c r="Q22" s="2"/>
    </row>
    <row r="23" spans="1:17" x14ac:dyDescent="0.45">
      <c r="A23" s="2" t="s">
        <v>42</v>
      </c>
      <c r="B23" s="2" t="s">
        <v>10</v>
      </c>
      <c r="C23" s="2" t="s">
        <v>33</v>
      </c>
      <c r="D23" s="2" t="s">
        <v>22</v>
      </c>
      <c r="E23" s="3">
        <v>408</v>
      </c>
      <c r="F23" s="4">
        <v>16300000</v>
      </c>
      <c r="G23" s="2" t="s">
        <v>13</v>
      </c>
      <c r="H23" s="4">
        <v>12600</v>
      </c>
      <c r="I23" s="4">
        <v>50000</v>
      </c>
      <c r="J23" s="4"/>
      <c r="K23" s="2"/>
    </row>
    <row r="24" spans="1:17" x14ac:dyDescent="0.45">
      <c r="A24" s="2" t="s">
        <v>43</v>
      </c>
      <c r="B24" s="2" t="s">
        <v>10</v>
      </c>
      <c r="C24" s="2" t="s">
        <v>33</v>
      </c>
      <c r="D24" s="2" t="s">
        <v>26</v>
      </c>
      <c r="E24" s="3">
        <v>264</v>
      </c>
      <c r="F24" s="4">
        <v>13690000</v>
      </c>
      <c r="G24" s="2"/>
      <c r="H24" s="4">
        <v>33500</v>
      </c>
      <c r="I24" s="4">
        <v>46000</v>
      </c>
      <c r="J24" s="4"/>
      <c r="K24" s="2"/>
    </row>
    <row r="25" spans="1:17" x14ac:dyDescent="0.45">
      <c r="A25" s="2" t="s">
        <v>44</v>
      </c>
      <c r="B25" s="2" t="s">
        <v>19</v>
      </c>
      <c r="C25" s="2" t="s">
        <v>25</v>
      </c>
      <c r="D25" s="2" t="s">
        <v>17</v>
      </c>
      <c r="E25" s="3">
        <v>256</v>
      </c>
      <c r="F25" s="4">
        <v>50730000</v>
      </c>
      <c r="G25" s="2"/>
      <c r="H25" s="4">
        <v>57900</v>
      </c>
      <c r="I25" s="4">
        <v>28000</v>
      </c>
      <c r="J25" s="4"/>
      <c r="K25" s="2"/>
    </row>
    <row r="26" spans="1:17" x14ac:dyDescent="0.45">
      <c r="A26" s="2" t="s">
        <v>45</v>
      </c>
      <c r="B26" s="2" t="s">
        <v>15</v>
      </c>
      <c r="C26" s="2" t="s">
        <v>16</v>
      </c>
      <c r="D26" s="2" t="s">
        <v>22</v>
      </c>
      <c r="E26" s="3">
        <v>536</v>
      </c>
      <c r="F26" s="4">
        <v>45060000</v>
      </c>
      <c r="G26" s="2"/>
      <c r="H26" s="4">
        <v>71100</v>
      </c>
      <c r="I26" s="4">
        <v>40000</v>
      </c>
      <c r="J26" s="4"/>
      <c r="K26" s="2"/>
    </row>
    <row r="27" spans="1:17" x14ac:dyDescent="0.45">
      <c r="A27" s="2" t="s">
        <v>46</v>
      </c>
      <c r="B27" s="2" t="s">
        <v>19</v>
      </c>
      <c r="C27" s="2" t="s">
        <v>33</v>
      </c>
      <c r="D27" s="2" t="s">
        <v>22</v>
      </c>
      <c r="E27" s="3">
        <v>296</v>
      </c>
      <c r="F27" s="4">
        <v>25880000</v>
      </c>
      <c r="G27" s="2"/>
      <c r="H27" s="4">
        <v>2600</v>
      </c>
      <c r="I27" s="4">
        <v>44000</v>
      </c>
      <c r="J27" s="4"/>
      <c r="K27" s="2"/>
    </row>
    <row r="28" spans="1:17" x14ac:dyDescent="0.45">
      <c r="A28" s="2" t="s">
        <v>47</v>
      </c>
      <c r="B28" s="2" t="s">
        <v>15</v>
      </c>
      <c r="C28" s="2" t="s">
        <v>25</v>
      </c>
      <c r="D28" s="2" t="s">
        <v>26</v>
      </c>
      <c r="E28" s="3">
        <v>560</v>
      </c>
      <c r="F28" s="4">
        <v>48810000</v>
      </c>
      <c r="G28" s="2" t="s">
        <v>13</v>
      </c>
      <c r="H28" s="4">
        <v>43100</v>
      </c>
      <c r="I28" s="4">
        <v>8000</v>
      </c>
      <c r="J28" s="4"/>
      <c r="K28" s="2"/>
    </row>
    <row r="29" spans="1:17" x14ac:dyDescent="0.45">
      <c r="A29" s="2" t="s">
        <v>48</v>
      </c>
      <c r="B29" s="2" t="s">
        <v>10</v>
      </c>
      <c r="C29" s="2" t="s">
        <v>11</v>
      </c>
      <c r="D29" s="2" t="s">
        <v>26</v>
      </c>
      <c r="E29" s="3">
        <v>456</v>
      </c>
      <c r="F29" s="4">
        <v>30340000</v>
      </c>
      <c r="G29" s="2"/>
      <c r="H29" s="4">
        <v>71200</v>
      </c>
      <c r="I29" s="4">
        <v>41000</v>
      </c>
      <c r="J29" s="4"/>
      <c r="K29" s="2"/>
    </row>
    <row r="30" spans="1:17" x14ac:dyDescent="0.45">
      <c r="A30" s="2" t="s">
        <v>49</v>
      </c>
      <c r="B30" s="2" t="s">
        <v>10</v>
      </c>
      <c r="C30" s="2" t="s">
        <v>25</v>
      </c>
      <c r="D30" s="2" t="s">
        <v>22</v>
      </c>
      <c r="E30" s="3">
        <v>328</v>
      </c>
      <c r="F30" s="4">
        <v>27060000</v>
      </c>
      <c r="G30" s="2"/>
      <c r="H30" s="4">
        <v>1300</v>
      </c>
      <c r="I30" s="4">
        <v>35000</v>
      </c>
      <c r="J30" s="4"/>
      <c r="K30" s="2"/>
    </row>
    <row r="31" spans="1:17" x14ac:dyDescent="0.45">
      <c r="A31" s="2" t="s">
        <v>50</v>
      </c>
      <c r="B31" s="2" t="s">
        <v>10</v>
      </c>
      <c r="C31" s="2" t="s">
        <v>11</v>
      </c>
      <c r="D31" s="2" t="s">
        <v>17</v>
      </c>
      <c r="E31" s="3">
        <v>520</v>
      </c>
      <c r="F31" s="4">
        <v>38300000</v>
      </c>
      <c r="G31" s="2" t="s">
        <v>13</v>
      </c>
      <c r="H31" s="4">
        <v>25500</v>
      </c>
      <c r="I31" s="4">
        <v>12000</v>
      </c>
      <c r="J31" s="4"/>
      <c r="K31" s="2"/>
    </row>
    <row r="32" spans="1:17" x14ac:dyDescent="0.45">
      <c r="A32" s="2" t="s">
        <v>51</v>
      </c>
      <c r="B32" s="2" t="s">
        <v>10</v>
      </c>
      <c r="C32" s="2" t="s">
        <v>25</v>
      </c>
      <c r="D32" s="2" t="s">
        <v>22</v>
      </c>
      <c r="E32" s="3">
        <v>576</v>
      </c>
      <c r="F32" s="4">
        <v>42910000</v>
      </c>
      <c r="G32" s="2"/>
      <c r="H32" s="4">
        <v>17000</v>
      </c>
      <c r="I32" s="4">
        <v>15000</v>
      </c>
      <c r="J32" s="4"/>
      <c r="K32" s="2"/>
    </row>
    <row r="33" spans="1:11" x14ac:dyDescent="0.45">
      <c r="A33" s="2" t="s">
        <v>52</v>
      </c>
      <c r="B33" s="2" t="s">
        <v>15</v>
      </c>
      <c r="C33" s="2" t="s">
        <v>33</v>
      </c>
      <c r="D33" s="2" t="s">
        <v>12</v>
      </c>
      <c r="E33" s="3">
        <v>576</v>
      </c>
      <c r="F33" s="4">
        <v>22830000</v>
      </c>
      <c r="G33" s="2"/>
      <c r="H33" s="4">
        <v>4800</v>
      </c>
      <c r="I33" s="4">
        <v>25000</v>
      </c>
      <c r="J33" s="4"/>
      <c r="K33" s="2"/>
    </row>
    <row r="34" spans="1:11" x14ac:dyDescent="0.45">
      <c r="A34" s="2" t="s">
        <v>53</v>
      </c>
      <c r="B34" s="2" t="s">
        <v>15</v>
      </c>
      <c r="C34" s="2" t="s">
        <v>25</v>
      </c>
      <c r="D34" s="2" t="s">
        <v>17</v>
      </c>
      <c r="E34" s="3">
        <v>256</v>
      </c>
      <c r="F34" s="4">
        <v>45250000</v>
      </c>
      <c r="G34" s="2" t="s">
        <v>13</v>
      </c>
      <c r="H34" s="4">
        <v>10100</v>
      </c>
      <c r="I34" s="4">
        <v>38000</v>
      </c>
      <c r="J34" s="4"/>
      <c r="K34" s="2"/>
    </row>
    <row r="35" spans="1:11" x14ac:dyDescent="0.45">
      <c r="A35" s="2" t="s">
        <v>54</v>
      </c>
      <c r="B35" s="2" t="s">
        <v>19</v>
      </c>
      <c r="C35" s="2" t="s">
        <v>16</v>
      </c>
      <c r="D35" s="2" t="s">
        <v>22</v>
      </c>
      <c r="E35" s="3">
        <v>408</v>
      </c>
      <c r="F35" s="4">
        <v>51580000</v>
      </c>
      <c r="G35" s="2" t="s">
        <v>13</v>
      </c>
      <c r="H35" s="4">
        <v>28500</v>
      </c>
      <c r="I35" s="4">
        <v>50000</v>
      </c>
      <c r="J35" s="4"/>
      <c r="K35" s="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7409-58C3-41B7-AD97-913490DEDD29}">
  <sheetPr codeName="Sheet5"/>
  <dimension ref="A1"/>
  <sheetViews>
    <sheetView workbookViewId="0">
      <selection activeCell="F8" sqref="F8"/>
    </sheetView>
  </sheetViews>
  <sheetFormatPr defaultRowHeight="17" x14ac:dyDescent="0.45"/>
  <cols>
    <col min="1" max="1" width="3.33203125" customWidth="1"/>
  </cols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7A9E3-D9C4-4908-B16D-C81E5A95F9EF}">
  <sheetPr codeName="Sheet6"/>
  <dimension ref="A1:G18"/>
  <sheetViews>
    <sheetView workbookViewId="0">
      <selection activeCell="G16" sqref="G16"/>
    </sheetView>
  </sheetViews>
  <sheetFormatPr defaultRowHeight="17" x14ac:dyDescent="0.45"/>
  <sheetData>
    <row r="1" spans="1:7" ht="21" x14ac:dyDescent="0.45">
      <c r="A1" s="14" t="s">
        <v>83</v>
      </c>
      <c r="B1" s="14"/>
      <c r="C1" s="14"/>
      <c r="D1" s="14"/>
      <c r="E1" s="14"/>
      <c r="F1" s="14"/>
      <c r="G1" s="14"/>
    </row>
    <row r="3" spans="1:7" x14ac:dyDescent="0.45">
      <c r="A3" s="2" t="s">
        <v>84</v>
      </c>
      <c r="B3" s="2" t="s">
        <v>85</v>
      </c>
      <c r="C3" s="2" t="s">
        <v>86</v>
      </c>
      <c r="D3" s="2" t="s">
        <v>87</v>
      </c>
      <c r="E3" s="2" t="s">
        <v>88</v>
      </c>
      <c r="F3" s="2" t="s">
        <v>89</v>
      </c>
      <c r="G3" s="2" t="s">
        <v>90</v>
      </c>
    </row>
    <row r="4" spans="1:7" x14ac:dyDescent="0.45">
      <c r="A4" s="2">
        <v>1</v>
      </c>
      <c r="B4" s="2" t="s">
        <v>91</v>
      </c>
      <c r="C4" s="2" t="s">
        <v>92</v>
      </c>
      <c r="D4" s="2">
        <v>75</v>
      </c>
      <c r="E4" s="2">
        <v>92</v>
      </c>
      <c r="F4" s="2">
        <v>93</v>
      </c>
      <c r="G4" s="15">
        <f>AVERAGE(D4:F4)</f>
        <v>86.666666666666671</v>
      </c>
    </row>
    <row r="5" spans="1:7" x14ac:dyDescent="0.45">
      <c r="A5" s="2">
        <v>3</v>
      </c>
      <c r="B5" s="2" t="s">
        <v>93</v>
      </c>
      <c r="C5" s="2" t="s">
        <v>92</v>
      </c>
      <c r="D5" s="2">
        <v>86</v>
      </c>
      <c r="E5" s="2">
        <v>90</v>
      </c>
      <c r="F5" s="2">
        <v>90</v>
      </c>
      <c r="G5" s="15">
        <f>AVERAGE(D5:F5)</f>
        <v>88.666666666666671</v>
      </c>
    </row>
    <row r="6" spans="1:7" x14ac:dyDescent="0.45">
      <c r="A6" s="2">
        <v>2</v>
      </c>
      <c r="B6" s="2" t="s">
        <v>94</v>
      </c>
      <c r="C6" s="2" t="s">
        <v>95</v>
      </c>
      <c r="D6" s="2">
        <v>92</v>
      </c>
      <c r="E6" s="2">
        <v>85</v>
      </c>
      <c r="F6" s="2">
        <v>92</v>
      </c>
      <c r="G6" s="15">
        <f>AVERAGE(D6:F6)</f>
        <v>89.666666666666671</v>
      </c>
    </row>
    <row r="7" spans="1:7" x14ac:dyDescent="0.45">
      <c r="A7" s="2">
        <v>2</v>
      </c>
      <c r="B7" s="2" t="s">
        <v>96</v>
      </c>
      <c r="C7" s="2" t="s">
        <v>92</v>
      </c>
      <c r="D7" s="2">
        <v>93</v>
      </c>
      <c r="E7" s="2">
        <v>93</v>
      </c>
      <c r="F7" s="2">
        <v>95</v>
      </c>
      <c r="G7" s="15">
        <f>AVERAGE(D7:F7)</f>
        <v>93.666666666666671</v>
      </c>
    </row>
    <row r="8" spans="1:7" x14ac:dyDescent="0.45">
      <c r="A8" s="2">
        <v>2</v>
      </c>
      <c r="B8" s="2" t="s">
        <v>97</v>
      </c>
      <c r="C8" s="2" t="s">
        <v>95</v>
      </c>
      <c r="D8" s="2">
        <v>85</v>
      </c>
      <c r="E8" s="2">
        <v>86</v>
      </c>
      <c r="F8" s="2">
        <v>79</v>
      </c>
      <c r="G8" s="15">
        <f>AVERAGE(D8:F8)</f>
        <v>83.333333333333329</v>
      </c>
    </row>
    <row r="9" spans="1:7" x14ac:dyDescent="0.45">
      <c r="A9" s="2">
        <v>1</v>
      </c>
      <c r="B9" s="2" t="s">
        <v>98</v>
      </c>
      <c r="C9" s="2" t="s">
        <v>95</v>
      </c>
      <c r="D9" s="2">
        <v>72</v>
      </c>
      <c r="E9" s="2">
        <v>78</v>
      </c>
      <c r="F9" s="2">
        <v>80</v>
      </c>
      <c r="G9" s="15">
        <f>AVERAGE(D9:F9)</f>
        <v>76.666666666666671</v>
      </c>
    </row>
    <row r="10" spans="1:7" x14ac:dyDescent="0.45">
      <c r="A10" s="2">
        <v>1</v>
      </c>
      <c r="B10" s="2" t="s">
        <v>99</v>
      </c>
      <c r="C10" s="2" t="s">
        <v>95</v>
      </c>
      <c r="D10" s="2">
        <v>90</v>
      </c>
      <c r="E10" s="2">
        <v>93</v>
      </c>
      <c r="F10" s="2">
        <v>91</v>
      </c>
      <c r="G10" s="15">
        <f>AVERAGE(D10:F10)</f>
        <v>91.333333333333329</v>
      </c>
    </row>
    <row r="11" spans="1:7" x14ac:dyDescent="0.45">
      <c r="A11" s="2">
        <v>1</v>
      </c>
      <c r="B11" s="2" t="s">
        <v>100</v>
      </c>
      <c r="C11" s="2" t="s">
        <v>92</v>
      </c>
      <c r="D11" s="2">
        <v>95</v>
      </c>
      <c r="E11" s="2">
        <v>93</v>
      </c>
      <c r="F11" s="2">
        <v>92</v>
      </c>
      <c r="G11" s="15">
        <f>AVERAGE(D11:F11)</f>
        <v>93.333333333333329</v>
      </c>
    </row>
    <row r="12" spans="1:7" x14ac:dyDescent="0.45">
      <c r="A12" s="2">
        <v>3</v>
      </c>
      <c r="B12" s="2" t="s">
        <v>101</v>
      </c>
      <c r="C12" s="2" t="s">
        <v>95</v>
      </c>
      <c r="D12" s="2">
        <v>88</v>
      </c>
      <c r="E12" s="2">
        <v>82</v>
      </c>
      <c r="F12" s="2">
        <v>81</v>
      </c>
      <c r="G12" s="15">
        <f>AVERAGE(D12:F12)</f>
        <v>83.666666666666671</v>
      </c>
    </row>
    <row r="13" spans="1:7" x14ac:dyDescent="0.45">
      <c r="A13" s="2">
        <v>3</v>
      </c>
      <c r="B13" s="2" t="s">
        <v>102</v>
      </c>
      <c r="C13" s="2" t="s">
        <v>92</v>
      </c>
      <c r="D13" s="2">
        <v>75</v>
      </c>
      <c r="E13" s="2">
        <v>76</v>
      </c>
      <c r="F13" s="2">
        <v>75</v>
      </c>
      <c r="G13" s="15">
        <f>AVERAGE(D13:F13)</f>
        <v>75.333333333333329</v>
      </c>
    </row>
    <row r="14" spans="1:7" x14ac:dyDescent="0.45">
      <c r="A14" s="2">
        <v>3</v>
      </c>
      <c r="B14" s="2" t="s">
        <v>103</v>
      </c>
      <c r="C14" s="2" t="s">
        <v>95</v>
      </c>
      <c r="D14" s="2">
        <v>91</v>
      </c>
      <c r="E14" s="2">
        <v>94</v>
      </c>
      <c r="F14" s="2">
        <v>85</v>
      </c>
      <c r="G14" s="15">
        <f>AVERAGE(D14:F14)</f>
        <v>90</v>
      </c>
    </row>
    <row r="15" spans="1:7" x14ac:dyDescent="0.45">
      <c r="A15" s="2">
        <v>3</v>
      </c>
      <c r="B15" s="2" t="s">
        <v>104</v>
      </c>
      <c r="C15" s="2" t="s">
        <v>92</v>
      </c>
      <c r="D15" s="2">
        <v>76</v>
      </c>
      <c r="E15" s="2">
        <v>81</v>
      </c>
      <c r="F15" s="2">
        <v>78</v>
      </c>
      <c r="G15" s="15">
        <f>AVERAGE(D15:F15)</f>
        <v>78.333333333333329</v>
      </c>
    </row>
    <row r="16" spans="1:7" x14ac:dyDescent="0.45">
      <c r="A16" s="2">
        <v>2</v>
      </c>
      <c r="B16" s="2" t="s">
        <v>105</v>
      </c>
      <c r="C16" s="2" t="s">
        <v>95</v>
      </c>
      <c r="D16" s="2">
        <v>82</v>
      </c>
      <c r="E16" s="2">
        <v>80</v>
      </c>
      <c r="F16" s="2">
        <v>86</v>
      </c>
      <c r="G16" s="15">
        <f>AVERAGE(D16:F16)</f>
        <v>82.666666666666671</v>
      </c>
    </row>
    <row r="17" spans="1:7" x14ac:dyDescent="0.45">
      <c r="A17" s="2">
        <v>3</v>
      </c>
      <c r="B17" s="2" t="s">
        <v>106</v>
      </c>
      <c r="C17" s="2" t="s">
        <v>92</v>
      </c>
      <c r="D17" s="2">
        <v>75</v>
      </c>
      <c r="E17" s="2">
        <v>78</v>
      </c>
      <c r="F17" s="2">
        <v>80</v>
      </c>
      <c r="G17" s="15">
        <f>AVERAGE(D17:F17)</f>
        <v>77.666666666666671</v>
      </c>
    </row>
    <row r="18" spans="1:7" x14ac:dyDescent="0.45">
      <c r="A18" s="2">
        <v>2</v>
      </c>
      <c r="B18" s="2" t="s">
        <v>107</v>
      </c>
      <c r="C18" s="2" t="s">
        <v>95</v>
      </c>
      <c r="D18" s="2">
        <v>91</v>
      </c>
      <c r="E18" s="2">
        <v>90</v>
      </c>
      <c r="F18" s="2">
        <v>93</v>
      </c>
      <c r="G18" s="15">
        <f>AVERAGE(D18:F18)</f>
        <v>91.333333333333329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9260-94D9-4D65-A554-DAFDFA07BB2B}">
  <sheetPr codeName="Sheet7"/>
  <dimension ref="A1:C8"/>
  <sheetViews>
    <sheetView workbookViewId="0">
      <selection activeCell="F8" sqref="F8"/>
    </sheetView>
  </sheetViews>
  <sheetFormatPr defaultRowHeight="17" x14ac:dyDescent="0.45"/>
  <cols>
    <col min="1" max="1" width="14.33203125" customWidth="1"/>
    <col min="2" max="2" width="11.5" customWidth="1"/>
    <col min="3" max="3" width="12.83203125" customWidth="1"/>
  </cols>
  <sheetData>
    <row r="1" spans="1:3" x14ac:dyDescent="0.45">
      <c r="A1" s="16"/>
      <c r="C1" s="17" t="s">
        <v>108</v>
      </c>
    </row>
    <row r="2" spans="1:3" x14ac:dyDescent="0.45">
      <c r="A2" s="2" t="s">
        <v>109</v>
      </c>
      <c r="B2" s="2" t="s">
        <v>110</v>
      </c>
      <c r="C2" s="2" t="s">
        <v>111</v>
      </c>
    </row>
    <row r="3" spans="1:3" x14ac:dyDescent="0.45">
      <c r="A3" s="3" t="s">
        <v>112</v>
      </c>
      <c r="B3" s="18">
        <v>9510040</v>
      </c>
      <c r="C3" s="18">
        <v>9807271</v>
      </c>
    </row>
    <row r="4" spans="1:3" x14ac:dyDescent="0.45">
      <c r="A4" s="3" t="s">
        <v>113</v>
      </c>
      <c r="B4" s="18">
        <v>4790697</v>
      </c>
      <c r="C4" s="18">
        <v>1953676</v>
      </c>
    </row>
    <row r="5" spans="1:3" x14ac:dyDescent="0.45">
      <c r="A5" s="3" t="s">
        <v>114</v>
      </c>
      <c r="B5" s="18">
        <v>1964906</v>
      </c>
      <c r="C5" s="18">
        <v>2802763</v>
      </c>
    </row>
    <row r="6" spans="1:3" x14ac:dyDescent="0.45">
      <c r="A6" s="3" t="s">
        <v>115</v>
      </c>
      <c r="B6" s="18">
        <v>7840595</v>
      </c>
      <c r="C6" s="18">
        <v>12037866</v>
      </c>
    </row>
    <row r="7" spans="1:3" x14ac:dyDescent="0.45">
      <c r="A7" s="3" t="s">
        <v>116</v>
      </c>
      <c r="B7" s="18">
        <v>6548760</v>
      </c>
      <c r="C7" s="18">
        <v>5693906</v>
      </c>
    </row>
    <row r="8" spans="1:3" x14ac:dyDescent="0.45">
      <c r="A8" s="3" t="s">
        <v>117</v>
      </c>
      <c r="B8" s="18">
        <v>445657</v>
      </c>
      <c r="C8" s="18">
        <v>702199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800CA-F5A9-4F90-9087-CA17484D84E6}">
  <sheetPr codeName="Sheet8"/>
  <dimension ref="A3:H26"/>
  <sheetViews>
    <sheetView workbookViewId="0">
      <selection activeCell="B3" sqref="B3"/>
    </sheetView>
  </sheetViews>
  <sheetFormatPr defaultRowHeight="17" x14ac:dyDescent="0.45"/>
  <cols>
    <col min="1" max="1" width="9.25" bestFit="1" customWidth="1"/>
    <col min="2" max="2" width="6.58203125" customWidth="1"/>
    <col min="3" max="3" width="9" bestFit="1" customWidth="1"/>
    <col min="4" max="4" width="7.33203125" bestFit="1" customWidth="1"/>
    <col min="5" max="5" width="12.25" customWidth="1"/>
    <col min="6" max="6" width="10" customWidth="1"/>
    <col min="7" max="7" width="10.75" customWidth="1"/>
    <col min="8" max="8" width="11.58203125" bestFit="1" customWidth="1"/>
  </cols>
  <sheetData>
    <row r="3" spans="1:8" x14ac:dyDescent="0.45">
      <c r="A3" t="s">
        <v>75</v>
      </c>
    </row>
    <row r="4" spans="1:8" x14ac:dyDescent="0.45">
      <c r="A4" s="1" t="s">
        <v>0</v>
      </c>
      <c r="B4" s="1" t="s">
        <v>1</v>
      </c>
      <c r="C4" s="1" t="s">
        <v>2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118</v>
      </c>
    </row>
    <row r="5" spans="1:8" x14ac:dyDescent="0.45">
      <c r="A5" s="2" t="s">
        <v>47</v>
      </c>
      <c r="B5" s="2" t="s">
        <v>15</v>
      </c>
      <c r="C5" s="2" t="s">
        <v>25</v>
      </c>
      <c r="D5" s="3">
        <v>560</v>
      </c>
      <c r="E5" s="4">
        <v>48810000</v>
      </c>
      <c r="F5" s="4">
        <v>43100</v>
      </c>
      <c r="G5" s="4">
        <v>8000</v>
      </c>
      <c r="H5" s="19">
        <v>78766000</v>
      </c>
    </row>
    <row r="6" spans="1:8" x14ac:dyDescent="0.45">
      <c r="A6" s="2" t="s">
        <v>35</v>
      </c>
      <c r="B6" s="2" t="s">
        <v>10</v>
      </c>
      <c r="C6" s="2" t="s">
        <v>16</v>
      </c>
      <c r="D6" s="3">
        <v>360</v>
      </c>
      <c r="E6" s="4">
        <v>66950000</v>
      </c>
      <c r="F6" s="4">
        <v>66800</v>
      </c>
      <c r="G6" s="4">
        <v>40000</v>
      </c>
      <c r="H6" s="19">
        <v>2316474000</v>
      </c>
    </row>
    <row r="7" spans="1:8" x14ac:dyDescent="0.45">
      <c r="A7" s="2" t="s">
        <v>41</v>
      </c>
      <c r="B7" s="2" t="s">
        <v>10</v>
      </c>
      <c r="C7" s="2" t="s">
        <v>25</v>
      </c>
      <c r="D7" s="3">
        <v>472</v>
      </c>
      <c r="E7" s="4">
        <v>15060000</v>
      </c>
      <c r="F7" s="4">
        <v>36800</v>
      </c>
      <c r="G7" s="4">
        <v>22000</v>
      </c>
      <c r="H7" s="19">
        <v>620844000</v>
      </c>
    </row>
    <row r="8" spans="1:8" x14ac:dyDescent="0.45">
      <c r="A8" s="2" t="s">
        <v>23</v>
      </c>
      <c r="B8" s="2" t="s">
        <v>24</v>
      </c>
      <c r="C8" s="2" t="s">
        <v>25</v>
      </c>
      <c r="D8" s="3">
        <v>456</v>
      </c>
      <c r="E8" s="4">
        <v>14370000</v>
      </c>
      <c r="F8" s="4">
        <v>72400</v>
      </c>
      <c r="G8" s="4">
        <v>11000</v>
      </c>
      <c r="H8" s="19">
        <v>451886000</v>
      </c>
    </row>
    <row r="9" spans="1:8" x14ac:dyDescent="0.45">
      <c r="A9" s="2" t="s">
        <v>43</v>
      </c>
      <c r="B9" s="2" t="s">
        <v>10</v>
      </c>
      <c r="C9" s="2" t="s">
        <v>33</v>
      </c>
      <c r="D9" s="3">
        <v>264</v>
      </c>
      <c r="E9" s="4">
        <v>13690000</v>
      </c>
      <c r="F9" s="4">
        <v>150</v>
      </c>
      <c r="G9" s="4">
        <v>46000</v>
      </c>
      <c r="H9" s="19">
        <v>-7304800</v>
      </c>
    </row>
    <row r="10" spans="1:8" x14ac:dyDescent="0.45">
      <c r="A10" s="2" t="s">
        <v>32</v>
      </c>
      <c r="B10" s="2" t="s">
        <v>24</v>
      </c>
      <c r="C10" s="2" t="s">
        <v>33</v>
      </c>
      <c r="D10" s="3">
        <v>392</v>
      </c>
      <c r="E10" s="4">
        <v>31540000</v>
      </c>
      <c r="F10" s="4">
        <v>33600</v>
      </c>
      <c r="G10" s="4">
        <v>26000</v>
      </c>
      <c r="H10" s="19">
        <v>684005600</v>
      </c>
    </row>
    <row r="11" spans="1:8" x14ac:dyDescent="0.45">
      <c r="A11" s="2" t="s">
        <v>48</v>
      </c>
      <c r="B11" s="2" t="s">
        <v>10</v>
      </c>
      <c r="C11" s="2" t="s">
        <v>11</v>
      </c>
      <c r="D11" s="3">
        <v>456</v>
      </c>
      <c r="E11" s="4">
        <v>30340000</v>
      </c>
      <c r="F11" s="4">
        <v>71200</v>
      </c>
      <c r="G11" s="4">
        <v>41000</v>
      </c>
      <c r="H11" s="19">
        <v>2564188000</v>
      </c>
    </row>
    <row r="12" spans="1:8" x14ac:dyDescent="0.45">
      <c r="A12" s="2" t="s">
        <v>28</v>
      </c>
      <c r="B12" s="2" t="s">
        <v>24</v>
      </c>
      <c r="C12" s="2" t="s">
        <v>25</v>
      </c>
      <c r="D12" s="3">
        <v>288</v>
      </c>
      <c r="E12" s="4">
        <v>22432560</v>
      </c>
      <c r="F12" s="4">
        <v>619</v>
      </c>
      <c r="G12" s="4">
        <v>42000</v>
      </c>
      <c r="H12" s="19">
        <v>0</v>
      </c>
    </row>
    <row r="13" spans="1:8" x14ac:dyDescent="0.45">
      <c r="A13" s="2" t="s">
        <v>18</v>
      </c>
      <c r="B13" s="2" t="s">
        <v>19</v>
      </c>
      <c r="C13" s="2" t="s">
        <v>11</v>
      </c>
      <c r="D13" s="3">
        <v>496</v>
      </c>
      <c r="E13" s="4">
        <v>36490000</v>
      </c>
      <c r="F13" s="4">
        <v>17700</v>
      </c>
      <c r="G13" s="4">
        <v>25000</v>
      </c>
      <c r="H13" s="19">
        <v>326997200</v>
      </c>
    </row>
    <row r="14" spans="1:8" x14ac:dyDescent="0.45">
      <c r="A14" s="2" t="s">
        <v>44</v>
      </c>
      <c r="B14" s="2" t="s">
        <v>19</v>
      </c>
      <c r="C14" s="2" t="s">
        <v>25</v>
      </c>
      <c r="D14" s="3">
        <v>256</v>
      </c>
      <c r="E14" s="4">
        <v>50730000</v>
      </c>
      <c r="F14" s="4">
        <v>57900</v>
      </c>
      <c r="G14" s="4">
        <v>28000</v>
      </c>
      <c r="H14" s="19">
        <v>1407423600</v>
      </c>
    </row>
    <row r="15" spans="1:8" x14ac:dyDescent="0.45">
      <c r="A15" s="2" t="s">
        <v>27</v>
      </c>
      <c r="B15" s="2" t="s">
        <v>15</v>
      </c>
      <c r="C15" s="2" t="s">
        <v>16</v>
      </c>
      <c r="D15" s="3">
        <v>512</v>
      </c>
      <c r="E15" s="4">
        <v>56250000</v>
      </c>
      <c r="F15" s="4">
        <v>44600</v>
      </c>
      <c r="G15" s="4">
        <v>37000</v>
      </c>
      <c r="H15" s="19">
        <v>1388433200</v>
      </c>
    </row>
    <row r="16" spans="1:8" x14ac:dyDescent="0.45">
      <c r="A16" s="2" t="s">
        <v>14</v>
      </c>
      <c r="B16" s="2" t="s">
        <v>15</v>
      </c>
      <c r="C16" s="2" t="s">
        <v>16</v>
      </c>
      <c r="D16" s="3">
        <v>544</v>
      </c>
      <c r="E16" s="4">
        <v>44860000</v>
      </c>
      <c r="F16" s="4"/>
      <c r="G16" s="4"/>
      <c r="H16" s="19" t="s">
        <v>119</v>
      </c>
    </row>
    <row r="17" spans="1:8" x14ac:dyDescent="0.45">
      <c r="A17" s="2" t="s">
        <v>53</v>
      </c>
      <c r="B17" s="2" t="s">
        <v>15</v>
      </c>
      <c r="C17" s="2" t="s">
        <v>25</v>
      </c>
      <c r="D17" s="3">
        <v>256</v>
      </c>
      <c r="E17" s="4">
        <v>45250000</v>
      </c>
      <c r="F17" s="4">
        <v>10100</v>
      </c>
      <c r="G17" s="4">
        <v>38000</v>
      </c>
      <c r="H17" s="19">
        <v>310108400</v>
      </c>
    </row>
    <row r="18" spans="1:8" x14ac:dyDescent="0.45">
      <c r="A18" s="2" t="s">
        <v>30</v>
      </c>
      <c r="B18" s="2" t="s">
        <v>24</v>
      </c>
      <c r="C18" s="2" t="s">
        <v>16</v>
      </c>
      <c r="D18" s="3">
        <v>296</v>
      </c>
      <c r="E18" s="4">
        <v>42180000</v>
      </c>
      <c r="F18" s="4">
        <v>72900</v>
      </c>
      <c r="G18" s="4">
        <v>24000</v>
      </c>
      <c r="H18" s="19">
        <v>1470057600</v>
      </c>
    </row>
    <row r="19" spans="1:8" x14ac:dyDescent="0.45">
      <c r="A19" s="2" t="s">
        <v>50</v>
      </c>
      <c r="B19" s="2" t="s">
        <v>10</v>
      </c>
      <c r="C19" s="2" t="s">
        <v>11</v>
      </c>
      <c r="D19" s="3">
        <v>520</v>
      </c>
      <c r="E19" s="4">
        <v>38300000</v>
      </c>
      <c r="F19" s="4">
        <v>25500</v>
      </c>
      <c r="G19" s="4">
        <v>12000</v>
      </c>
      <c r="H19" s="19">
        <v>148360000</v>
      </c>
    </row>
    <row r="20" spans="1:8" x14ac:dyDescent="0.45">
      <c r="A20" s="2" t="s">
        <v>38</v>
      </c>
      <c r="B20" s="2" t="s">
        <v>24</v>
      </c>
      <c r="C20" s="2" t="s">
        <v>33</v>
      </c>
      <c r="D20" s="3">
        <v>424</v>
      </c>
      <c r="E20" s="4">
        <v>14210000</v>
      </c>
      <c r="F20" s="4">
        <v>69400</v>
      </c>
      <c r="G20" s="4">
        <v>26000</v>
      </c>
      <c r="H20" s="19">
        <v>1260529200</v>
      </c>
    </row>
    <row r="21" spans="1:8" x14ac:dyDescent="0.45">
      <c r="A21" s="2" t="s">
        <v>31</v>
      </c>
      <c r="B21" s="2" t="s">
        <v>24</v>
      </c>
      <c r="C21" s="2" t="s">
        <v>11</v>
      </c>
      <c r="D21" s="3">
        <v>416</v>
      </c>
      <c r="E21" s="4">
        <v>33720000</v>
      </c>
      <c r="F21" s="4">
        <v>10400</v>
      </c>
      <c r="G21" s="4">
        <v>33000</v>
      </c>
      <c r="H21" s="19">
        <v>270542400</v>
      </c>
    </row>
    <row r="22" spans="1:8" x14ac:dyDescent="0.45">
      <c r="A22" s="2" t="s">
        <v>20</v>
      </c>
      <c r="B22" s="2" t="s">
        <v>15</v>
      </c>
      <c r="C22" s="2" t="s">
        <v>16</v>
      </c>
      <c r="D22" s="3">
        <v>512</v>
      </c>
      <c r="E22" s="4">
        <v>62220000</v>
      </c>
      <c r="F22" s="4">
        <v>12500</v>
      </c>
      <c r="G22" s="4">
        <v>16000</v>
      </c>
      <c r="H22" s="19">
        <v>28980000</v>
      </c>
    </row>
    <row r="23" spans="1:8" x14ac:dyDescent="0.45">
      <c r="A23" s="2" t="s">
        <v>52</v>
      </c>
      <c r="B23" s="2" t="s">
        <v>15</v>
      </c>
      <c r="C23" s="2" t="s">
        <v>33</v>
      </c>
      <c r="D23" s="3">
        <v>576</v>
      </c>
      <c r="E23" s="4">
        <v>22830000</v>
      </c>
      <c r="F23" s="4">
        <v>4800</v>
      </c>
      <c r="G23" s="4">
        <v>25000</v>
      </c>
      <c r="H23" s="19">
        <v>50168400</v>
      </c>
    </row>
    <row r="24" spans="1:8" x14ac:dyDescent="0.45">
      <c r="A24" s="2" t="s">
        <v>9</v>
      </c>
      <c r="B24" s="2" t="s">
        <v>10</v>
      </c>
      <c r="C24" s="2" t="s">
        <v>11</v>
      </c>
      <c r="D24" s="3">
        <v>352</v>
      </c>
      <c r="E24" s="4">
        <v>26620000</v>
      </c>
      <c r="F24" s="4">
        <v>65600</v>
      </c>
      <c r="G24" s="4">
        <v>30000</v>
      </c>
      <c r="H24" s="19">
        <v>1502647200</v>
      </c>
    </row>
    <row r="25" spans="1:8" x14ac:dyDescent="0.45">
      <c r="A25" s="2" t="s">
        <v>39</v>
      </c>
      <c r="B25" s="2" t="s">
        <v>10</v>
      </c>
      <c r="C25" s="2" t="s">
        <v>33</v>
      </c>
      <c r="D25" s="3">
        <v>576</v>
      </c>
      <c r="E25" s="4">
        <v>21570000</v>
      </c>
      <c r="F25" s="4">
        <v>51300</v>
      </c>
      <c r="G25" s="4">
        <v>10000</v>
      </c>
      <c r="H25" s="19">
        <v>-10899600</v>
      </c>
    </row>
    <row r="26" spans="1:8" x14ac:dyDescent="0.45">
      <c r="A26" s="2" t="s">
        <v>46</v>
      </c>
      <c r="B26" s="2" t="s">
        <v>19</v>
      </c>
      <c r="C26" s="2" t="s">
        <v>33</v>
      </c>
      <c r="D26" s="3">
        <v>296</v>
      </c>
      <c r="E26" s="4">
        <v>25880000</v>
      </c>
      <c r="F26" s="4">
        <v>2600</v>
      </c>
      <c r="G26" s="4">
        <v>44000</v>
      </c>
      <c r="H26" s="19">
        <v>73897600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00CA7-68BB-4434-B57D-9C49AB9B79E5}">
  <sheetPr codeName="Sheet1"/>
  <dimension ref="A3:K20"/>
  <sheetViews>
    <sheetView tabSelected="1" workbookViewId="0">
      <selection activeCell="L15" sqref="L15"/>
    </sheetView>
  </sheetViews>
  <sheetFormatPr defaultRowHeight="17" x14ac:dyDescent="0.45"/>
  <cols>
    <col min="1" max="1" width="10.25" customWidth="1"/>
    <col min="2" max="5" width="9" bestFit="1" customWidth="1"/>
    <col min="6" max="6" width="7.08203125" bestFit="1" customWidth="1"/>
    <col min="7" max="7" width="7.83203125" bestFit="1" customWidth="1"/>
    <col min="8" max="8" width="2.83203125" customWidth="1"/>
    <col min="10" max="10" width="10.83203125" customWidth="1"/>
    <col min="11" max="11" width="11" bestFit="1" customWidth="1"/>
  </cols>
  <sheetData>
    <row r="3" spans="1:11" x14ac:dyDescent="0.45">
      <c r="A3" t="s">
        <v>75</v>
      </c>
    </row>
    <row r="4" spans="1:11" x14ac:dyDescent="0.45">
      <c r="A4" s="3" t="s">
        <v>122</v>
      </c>
      <c r="B4" s="2" t="s">
        <v>0</v>
      </c>
      <c r="C4" s="2" t="s">
        <v>2</v>
      </c>
      <c r="D4" s="2" t="s">
        <v>123</v>
      </c>
      <c r="E4" s="2" t="s">
        <v>7</v>
      </c>
      <c r="F4" s="2" t="s">
        <v>124</v>
      </c>
      <c r="G4" s="2" t="s">
        <v>125</v>
      </c>
      <c r="I4" s="2" t="s">
        <v>0</v>
      </c>
      <c r="J4" s="2" t="s">
        <v>2</v>
      </c>
      <c r="K4" s="2" t="s">
        <v>7</v>
      </c>
    </row>
    <row r="5" spans="1:11" x14ac:dyDescent="0.45">
      <c r="A5" s="3" t="s">
        <v>120</v>
      </c>
      <c r="B5" s="3" t="s">
        <v>14</v>
      </c>
      <c r="C5" s="3" t="s">
        <v>16</v>
      </c>
      <c r="D5" s="3" t="s">
        <v>121</v>
      </c>
      <c r="E5" s="3">
        <v>32000</v>
      </c>
      <c r="F5" s="3">
        <v>5</v>
      </c>
      <c r="G5" s="18">
        <v>160000</v>
      </c>
      <c r="I5" s="2" t="s">
        <v>9</v>
      </c>
      <c r="J5" s="2" t="s">
        <v>11</v>
      </c>
      <c r="K5" s="4">
        <v>30000</v>
      </c>
    </row>
    <row r="6" spans="1:11" x14ac:dyDescent="0.45">
      <c r="A6" s="3"/>
      <c r="B6" s="3"/>
      <c r="C6" s="3"/>
      <c r="D6" s="3"/>
      <c r="E6" s="3"/>
      <c r="F6" s="3"/>
      <c r="G6" s="3"/>
      <c r="I6" s="2" t="s">
        <v>14</v>
      </c>
      <c r="J6" s="2" t="s">
        <v>16</v>
      </c>
      <c r="K6" s="4">
        <v>32000</v>
      </c>
    </row>
    <row r="7" spans="1:11" x14ac:dyDescent="0.45">
      <c r="A7" s="3"/>
      <c r="B7" s="3"/>
      <c r="C7" s="3"/>
      <c r="D7" s="3"/>
      <c r="E7" s="3"/>
      <c r="F7" s="3"/>
      <c r="G7" s="3"/>
      <c r="I7" s="2" t="s">
        <v>28</v>
      </c>
      <c r="J7" s="2" t="s">
        <v>25</v>
      </c>
      <c r="K7" s="4">
        <v>42000</v>
      </c>
    </row>
    <row r="8" spans="1:11" x14ac:dyDescent="0.45">
      <c r="A8" s="3"/>
      <c r="B8" s="3"/>
      <c r="C8" s="3"/>
      <c r="D8" s="3"/>
      <c r="E8" s="3"/>
      <c r="F8" s="3"/>
      <c r="G8" s="3"/>
      <c r="I8" s="2" t="s">
        <v>31</v>
      </c>
      <c r="J8" s="2" t="s">
        <v>11</v>
      </c>
      <c r="K8" s="4">
        <v>33000</v>
      </c>
    </row>
    <row r="9" spans="1:11" x14ac:dyDescent="0.45">
      <c r="A9" s="3"/>
      <c r="B9" s="3"/>
      <c r="C9" s="3"/>
      <c r="D9" s="3"/>
      <c r="E9" s="3"/>
      <c r="F9" s="3"/>
      <c r="G9" s="3"/>
      <c r="I9" s="2" t="s">
        <v>36</v>
      </c>
      <c r="J9" s="2" t="s">
        <v>25</v>
      </c>
      <c r="K9" s="4">
        <v>35000</v>
      </c>
    </row>
    <row r="10" spans="1:11" x14ac:dyDescent="0.45">
      <c r="A10" s="3"/>
      <c r="B10" s="3"/>
      <c r="C10" s="3"/>
      <c r="D10" s="3"/>
      <c r="E10" s="3"/>
      <c r="F10" s="3"/>
      <c r="G10" s="3"/>
      <c r="I10" s="2" t="s">
        <v>43</v>
      </c>
      <c r="J10" s="2" t="s">
        <v>33</v>
      </c>
      <c r="K10" s="4">
        <v>46000</v>
      </c>
    </row>
    <row r="11" spans="1:11" x14ac:dyDescent="0.45">
      <c r="A11" s="3"/>
      <c r="B11" s="3"/>
      <c r="C11" s="3"/>
      <c r="D11" s="3"/>
      <c r="E11" s="3"/>
      <c r="F11" s="3"/>
      <c r="G11" s="3"/>
    </row>
    <row r="12" spans="1:11" x14ac:dyDescent="0.45">
      <c r="A12" s="3"/>
      <c r="B12" s="3"/>
      <c r="C12" s="3"/>
      <c r="D12" s="3"/>
      <c r="E12" s="3"/>
      <c r="F12" s="3"/>
      <c r="G12" s="3"/>
    </row>
    <row r="13" spans="1:11" x14ac:dyDescent="0.45">
      <c r="A13" s="3"/>
      <c r="B13" s="3"/>
      <c r="C13" s="3"/>
      <c r="D13" s="3"/>
      <c r="E13" s="3"/>
      <c r="F13" s="3"/>
      <c r="G13" s="3"/>
    </row>
    <row r="14" spans="1:11" x14ac:dyDescent="0.45">
      <c r="A14" s="3"/>
      <c r="B14" s="3"/>
      <c r="C14" s="3"/>
      <c r="D14" s="3"/>
      <c r="E14" s="3"/>
      <c r="F14" s="3"/>
      <c r="G14" s="3"/>
    </row>
    <row r="15" spans="1:11" x14ac:dyDescent="0.45">
      <c r="A15" s="3"/>
      <c r="B15" s="3"/>
      <c r="C15" s="3"/>
      <c r="D15" s="3"/>
      <c r="E15" s="3"/>
      <c r="F15" s="3"/>
      <c r="G15" s="3"/>
    </row>
    <row r="16" spans="1:11" x14ac:dyDescent="0.45">
      <c r="A16" s="3"/>
      <c r="B16" s="3"/>
      <c r="C16" s="3"/>
      <c r="D16" s="3"/>
      <c r="E16" s="3"/>
      <c r="F16" s="3"/>
      <c r="G16" s="3"/>
    </row>
    <row r="17" spans="1:11" x14ac:dyDescent="0.45">
      <c r="A17" s="3"/>
      <c r="B17" s="3"/>
      <c r="C17" s="3"/>
      <c r="D17" s="3"/>
      <c r="E17" s="3"/>
      <c r="F17" s="3"/>
      <c r="G17" s="3"/>
    </row>
    <row r="18" spans="1:11" x14ac:dyDescent="0.45">
      <c r="A18" s="3"/>
      <c r="B18" s="3"/>
      <c r="C18" s="3"/>
      <c r="D18" s="3"/>
      <c r="E18" s="3"/>
      <c r="F18" s="3"/>
      <c r="G18" s="3"/>
      <c r="K18" t="s">
        <v>126</v>
      </c>
    </row>
    <row r="19" spans="1:11" x14ac:dyDescent="0.45">
      <c r="A19" s="3"/>
      <c r="B19" s="3"/>
      <c r="C19" s="3"/>
      <c r="D19" s="3"/>
      <c r="E19" s="3"/>
      <c r="F19" s="3"/>
      <c r="G19" s="3"/>
    </row>
    <row r="20" spans="1:11" x14ac:dyDescent="0.45">
      <c r="A20" s="3"/>
      <c r="B20" s="3"/>
      <c r="C20" s="3"/>
      <c r="D20" s="3"/>
      <c r="E20" s="3"/>
      <c r="F20" s="3"/>
      <c r="G20" s="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반출등록">
          <controlPr defaultSize="0" autoLine="0" r:id="rId4">
            <anchor moveWithCells="1">
              <from>
                <xdr:col>5</xdr:col>
                <xdr:colOff>6350</xdr:colOff>
                <xdr:row>0</xdr:row>
                <xdr:rowOff>44450</xdr:rowOff>
              </from>
              <to>
                <xdr:col>7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3073" r:id="rId3" name="cmd반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2023-07-14T11:40:39Z</dcterms:created>
  <dcterms:modified xsi:type="dcterms:W3CDTF">2023-07-14T12:38:34Z</dcterms:modified>
</cp:coreProperties>
</file>