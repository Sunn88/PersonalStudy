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모의\"/>
    </mc:Choice>
  </mc:AlternateContent>
  <xr:revisionPtr revIDLastSave="0" documentId="13_ncr:1_{75B48D7A-A286-4447-9E24-59E9325D95F5}" xr6:coauthVersionLast="47" xr6:coauthVersionMax="47" xr10:uidLastSave="{00000000-0000-0000-0000-000000000000}"/>
  <bookViews>
    <workbookView xWindow="28680" yWindow="-120" windowWidth="29040" windowHeight="17640" xr2:uid="{996A17FC-0A87-4199-9912-680845FDCF65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</calcChain>
</file>

<file path=xl/sharedStrings.xml><?xml version="1.0" encoding="utf-8"?>
<sst xmlns="http://schemas.openxmlformats.org/spreadsheetml/2006/main" count="463" uniqueCount="228">
  <si>
    <t>사원코드</t>
  </si>
  <si>
    <t>이름</t>
  </si>
  <si>
    <t>주민번호</t>
  </si>
  <si>
    <t>직책</t>
  </si>
  <si>
    <t>평가점수</t>
  </si>
  <si>
    <t>자격수당</t>
  </si>
  <si>
    <t>kr8113</t>
  </si>
  <si>
    <t>고여원</t>
  </si>
  <si>
    <t>761018-2******</t>
  </si>
  <si>
    <t>팀원</t>
  </si>
  <si>
    <t>de9738</t>
  </si>
  <si>
    <t>노차빈</t>
  </si>
  <si>
    <t>810115-2******</t>
  </si>
  <si>
    <t>팀장</t>
  </si>
  <si>
    <t>us7420</t>
  </si>
  <si>
    <t>조슬영</t>
  </si>
  <si>
    <t>801105-1******</t>
  </si>
  <si>
    <t>파트장</t>
  </si>
  <si>
    <t>kr8406</t>
  </si>
  <si>
    <t>오효연</t>
  </si>
  <si>
    <t>720102-1******</t>
  </si>
  <si>
    <t>본부장</t>
  </si>
  <si>
    <t>au8718</t>
  </si>
  <si>
    <t>임희솔</t>
  </si>
  <si>
    <t>811217-2******</t>
  </si>
  <si>
    <t>kr7833</t>
  </si>
  <si>
    <t>장성혁</t>
  </si>
  <si>
    <t>861109-2******</t>
  </si>
  <si>
    <t>실장</t>
  </si>
  <si>
    <t>au8824</t>
  </si>
  <si>
    <t>남지원</t>
  </si>
  <si>
    <t>890628-2******</t>
  </si>
  <si>
    <t>us9203</t>
  </si>
  <si>
    <t>주송희</t>
  </si>
  <si>
    <t>861024-1******</t>
  </si>
  <si>
    <t>kr8119</t>
  </si>
  <si>
    <t>이윤주</t>
  </si>
  <si>
    <t>891123-2******</t>
  </si>
  <si>
    <t>au9503</t>
  </si>
  <si>
    <t>유연지</t>
  </si>
  <si>
    <t>860926-1******</t>
  </si>
  <si>
    <t>kr9523</t>
  </si>
  <si>
    <t>전하연</t>
  </si>
  <si>
    <t>740808-2******</t>
  </si>
  <si>
    <t>us9227</t>
  </si>
  <si>
    <t>백시빈</t>
  </si>
  <si>
    <t>840207-2******</t>
  </si>
  <si>
    <t>us8814</t>
  </si>
  <si>
    <t>조현진</t>
  </si>
  <si>
    <t>770703-1******</t>
  </si>
  <si>
    <t>kr7238</t>
  </si>
  <si>
    <t>황화영</t>
  </si>
  <si>
    <t>880429-1******</t>
  </si>
  <si>
    <t>au9703</t>
  </si>
  <si>
    <t>남청연</t>
  </si>
  <si>
    <t>710407-1******</t>
  </si>
  <si>
    <t>kr7340</t>
  </si>
  <si>
    <t>정윤애</t>
  </si>
  <si>
    <t>771024-2******</t>
  </si>
  <si>
    <t>au9029</t>
  </si>
  <si>
    <t>고호정</t>
  </si>
  <si>
    <t>720626-1******</t>
  </si>
  <si>
    <t>de7338</t>
  </si>
  <si>
    <t>한래환</t>
  </si>
  <si>
    <t>760411-2******</t>
  </si>
  <si>
    <t>kr8917</t>
  </si>
  <si>
    <t>배성연</t>
  </si>
  <si>
    <t>781217-1******</t>
  </si>
  <si>
    <t>kr9207</t>
  </si>
  <si>
    <t>강연서</t>
  </si>
  <si>
    <t>800412-1******</t>
  </si>
  <si>
    <t>au8416</t>
  </si>
  <si>
    <t>이원찬</t>
  </si>
  <si>
    <t>731118-1******</t>
  </si>
  <si>
    <t>kr7521</t>
  </si>
  <si>
    <t>차채은</t>
  </si>
  <si>
    <t>820528-1******</t>
  </si>
  <si>
    <t>kr7921</t>
  </si>
  <si>
    <t>남성찬</t>
  </si>
  <si>
    <t>870406-2******</t>
  </si>
  <si>
    <t>us9627</t>
  </si>
  <si>
    <t>권종빈</t>
  </si>
  <si>
    <t>811005-1******</t>
  </si>
  <si>
    <t>au7034</t>
  </si>
  <si>
    <t>최지수</t>
  </si>
  <si>
    <t>831030-2******</t>
  </si>
  <si>
    <t>us7121</t>
  </si>
  <si>
    <t>문종후</t>
  </si>
  <si>
    <t>731120-1******</t>
  </si>
  <si>
    <t>au8418</t>
  </si>
  <si>
    <t>허효찬</t>
  </si>
  <si>
    <t>870827-1******</t>
  </si>
  <si>
    <t>de8007</t>
  </si>
  <si>
    <t>곽주은</t>
  </si>
  <si>
    <t>811005-2******</t>
  </si>
  <si>
    <t>au9237</t>
  </si>
  <si>
    <t>송루완</t>
  </si>
  <si>
    <t>750204-2******</t>
  </si>
  <si>
    <t>[표1]</t>
  </si>
  <si>
    <t>번호</t>
  </si>
  <si>
    <t>자격증수</t>
  </si>
  <si>
    <t>kr</t>
  </si>
  <si>
    <t>한국</t>
  </si>
  <si>
    <t>au</t>
  </si>
  <si>
    <t>호주</t>
  </si>
  <si>
    <t>us</t>
  </si>
  <si>
    <t>미국</t>
  </si>
  <si>
    <t>fr</t>
  </si>
  <si>
    <t>프랑스</t>
  </si>
  <si>
    <t>eu</t>
  </si>
  <si>
    <t>유럽</t>
  </si>
  <si>
    <t>cn</t>
  </si>
  <si>
    <t>중국</t>
  </si>
  <si>
    <t>소속지사</t>
  </si>
  <si>
    <t>정년일</t>
  </si>
  <si>
    <t>[표2]</t>
  </si>
  <si>
    <t>[표3]</t>
  </si>
  <si>
    <t>[표4]</t>
  </si>
  <si>
    <t>코드</t>
  </si>
  <si>
    <t>최고령자</t>
  </si>
  <si>
    <t>출석점수</t>
  </si>
  <si>
    <t>중간점수</t>
  </si>
  <si>
    <t>기말점수</t>
  </si>
  <si>
    <t>가중평균</t>
  </si>
  <si>
    <t>항목별 반영비율</t>
  </si>
  <si>
    <t>윤정희</t>
  </si>
  <si>
    <t>기준</t>
  </si>
  <si>
    <t>출석</t>
  </si>
  <si>
    <t>중간</t>
  </si>
  <si>
    <t>기말</t>
  </si>
  <si>
    <t>강성훈</t>
  </si>
  <si>
    <t>비율</t>
  </si>
  <si>
    <t>강현진</t>
  </si>
  <si>
    <t>고서환</t>
  </si>
  <si>
    <t>김강현</t>
  </si>
  <si>
    <t>김선길</t>
  </si>
  <si>
    <t>김원중</t>
  </si>
  <si>
    <t>김주예</t>
  </si>
  <si>
    <t>노준호</t>
  </si>
  <si>
    <t>박보영</t>
  </si>
  <si>
    <t>서승완</t>
  </si>
  <si>
    <t>안인영</t>
  </si>
  <si>
    <t>양준희</t>
  </si>
  <si>
    <t>우정아</t>
  </si>
  <si>
    <t>유희원</t>
  </si>
  <si>
    <t>이세영</t>
  </si>
  <si>
    <t>장동성</t>
  </si>
  <si>
    <t>조영혜</t>
  </si>
  <si>
    <t>최미인</t>
  </si>
  <si>
    <t>한유라</t>
  </si>
  <si>
    <t>홍승엽</t>
  </si>
  <si>
    <t>학교</t>
  </si>
  <si>
    <t>중동고</t>
  </si>
  <si>
    <t>세화고</t>
  </si>
  <si>
    <t>휘문고</t>
  </si>
  <si>
    <t>현대고</t>
  </si>
  <si>
    <t>구분</t>
  </si>
  <si>
    <t>객실명</t>
  </si>
  <si>
    <t>호수</t>
  </si>
  <si>
    <t>정원/최대인원</t>
  </si>
  <si>
    <t>김윤아</t>
  </si>
  <si>
    <t>복층</t>
  </si>
  <si>
    <t>4/6명</t>
  </si>
  <si>
    <t>김은소</t>
  </si>
  <si>
    <t>Family</t>
  </si>
  <si>
    <t>사랑</t>
  </si>
  <si>
    <t>8/12명</t>
  </si>
  <si>
    <t>김진우</t>
  </si>
  <si>
    <t>코끼리</t>
  </si>
  <si>
    <t>6/8명</t>
  </si>
  <si>
    <t>박기주</t>
  </si>
  <si>
    <t>배영수</t>
  </si>
  <si>
    <t>사자</t>
  </si>
  <si>
    <t>신유선</t>
  </si>
  <si>
    <t>일반</t>
  </si>
  <si>
    <t>신태희</t>
  </si>
  <si>
    <t>6/10명</t>
  </si>
  <si>
    <t>유아민</t>
  </si>
  <si>
    <t>소망</t>
  </si>
  <si>
    <t>이재희</t>
  </si>
  <si>
    <t>임준표</t>
  </si>
  <si>
    <t>믿음</t>
  </si>
  <si>
    <t>정유라</t>
  </si>
  <si>
    <t>호랑이</t>
  </si>
  <si>
    <t>조인성</t>
  </si>
  <si>
    <t>2/4명</t>
  </si>
  <si>
    <t>최민지</t>
  </si>
  <si>
    <t>무궁화</t>
  </si>
  <si>
    <t>한선택</t>
  </si>
  <si>
    <t>개나리</t>
  </si>
  <si>
    <t>한소혜</t>
  </si>
  <si>
    <t>황철수</t>
  </si>
  <si>
    <t>진달래</t>
  </si>
  <si>
    <t>리조트 객실 예약현황</t>
  </si>
  <si>
    <t>요금</t>
  </si>
  <si>
    <t>사슴</t>
  </si>
  <si>
    <t>하마</t>
  </si>
  <si>
    <t>장미</t>
  </si>
  <si>
    <t>우정</t>
  </si>
  <si>
    <t>기린</t>
  </si>
  <si>
    <t>국화</t>
  </si>
  <si>
    <t>용기</t>
  </si>
  <si>
    <t>(단위 : 1,000 USD)</t>
  </si>
  <si>
    <t>직영점</t>
  </si>
  <si>
    <t>가맹점</t>
  </si>
  <si>
    <t>유통</t>
  </si>
  <si>
    <t>온라인</t>
  </si>
  <si>
    <t>광고</t>
  </si>
  <si>
    <t>기타</t>
  </si>
  <si>
    <t>분류</t>
  </si>
  <si>
    <t>성장률</t>
  </si>
  <si>
    <t>전사매출</t>
  </si>
  <si>
    <t>아시아</t>
  </si>
  <si>
    <t>도서율</t>
  </si>
  <si>
    <t>남성</t>
  </si>
  <si>
    <t>서비스 종사자</t>
  </si>
  <si>
    <t>기혼</t>
  </si>
  <si>
    <t>성명</t>
  </si>
  <si>
    <t>생년월일</t>
  </si>
  <si>
    <t>성별</t>
  </si>
  <si>
    <t>직업</t>
  </si>
  <si>
    <t>결혼여부</t>
  </si>
  <si>
    <t>부양가족수</t>
  </si>
  <si>
    <t>공무원</t>
  </si>
  <si>
    <t>전문가</t>
  </si>
  <si>
    <t>기술공 및 준전문가</t>
  </si>
  <si>
    <t>사무 종사자</t>
  </si>
  <si>
    <t>농,임,어업 종사자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</si>
</sst>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&quot;점&quot;"/>
    <numFmt numFmtId="178" formatCode="\~\ 0.0&quot;점&quot;"/>
    <numFmt numFmtId="179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6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2" xfId="3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3" applyBorder="1" applyAlignment="1">
      <alignment horizontal="center" vertical="center"/>
    </xf>
    <xf numFmtId="41" fontId="4" fillId="0" borderId="3" xfId="1" applyFon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176" fontId="0" fillId="0" borderId="3" xfId="1" applyNumberFormat="1" applyFont="1" applyBorder="1" applyAlignment="1">
      <alignment vertical="center"/>
    </xf>
    <xf numFmtId="177" fontId="0" fillId="3" borderId="3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179" fontId="0" fillId="0" borderId="3" xfId="0" applyNumberFormat="1" applyBorder="1">
      <alignment vertical="center"/>
    </xf>
    <xf numFmtId="0" fontId="0" fillId="0" borderId="0" xfId="0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41" fontId="0" fillId="0" borderId="3" xfId="1" applyFont="1" applyBorder="1" applyAlignment="1">
      <alignment vertical="center"/>
    </xf>
    <xf numFmtId="0" fontId="0" fillId="0" borderId="0" xfId="0" applyAlignment="1">
      <alignment horizontal="right" vertical="center"/>
    </xf>
    <xf numFmtId="9" fontId="0" fillId="0" borderId="3" xfId="2" applyFont="1" applyBorder="1" applyAlignment="1">
      <alignment horizontal="center" vertical="center"/>
    </xf>
    <xf numFmtId="41" fontId="0" fillId="0" borderId="3" xfId="1" applyFont="1" applyBorder="1">
      <alignment vertical="center"/>
    </xf>
    <xf numFmtId="14" fontId="0" fillId="0" borderId="3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5" xfId="0" applyFont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3E32A464-2462-4003-ADDD-EED200E9130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'기타작업-2'!$C$2</c:f>
              <c:strCache>
                <c:ptCount val="1"/>
                <c:pt idx="0">
                  <c:v>전사매출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'기타작업-2'!$A$3:$A$8</c:f>
              <c:strCache>
                <c:ptCount val="6"/>
                <c:pt idx="0">
                  <c:v>직영점</c:v>
                </c:pt>
                <c:pt idx="1">
                  <c:v>가맹점</c:v>
                </c:pt>
                <c:pt idx="2">
                  <c:v>유통</c:v>
                </c:pt>
                <c:pt idx="3">
                  <c:v>온라인</c:v>
                </c:pt>
                <c:pt idx="4">
                  <c:v>광고</c:v>
                </c:pt>
                <c:pt idx="5">
                  <c:v>기타</c:v>
                </c:pt>
              </c:strCache>
            </c:strRef>
          </c:cat>
          <c:val>
            <c:numRef>
              <c:f>'기타작업-2'!$C$3:$C$8</c:f>
              <c:numCache>
                <c:formatCode>_(* #,##0_);_(* \(#,##0\);_(* "-"_);_(@_)</c:formatCode>
                <c:ptCount val="6"/>
                <c:pt idx="0">
                  <c:v>26857</c:v>
                </c:pt>
                <c:pt idx="1">
                  <c:v>128511</c:v>
                </c:pt>
                <c:pt idx="2">
                  <c:v>43574</c:v>
                </c:pt>
                <c:pt idx="3">
                  <c:v>25020</c:v>
                </c:pt>
                <c:pt idx="4">
                  <c:v>21771</c:v>
                </c:pt>
                <c:pt idx="5">
                  <c:v>47765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02-4647-B491-A3AE6439FB49}"/>
            </c:ext>
          </c:extLst>
        </c:ser>
        <c:ser>
          <c:idx val="1"/>
          <c:order val="1"/>
          <c:tx>
            <c:strRef>
              <c:f>'기타작업-2'!$D$2</c:f>
              <c:strCache>
                <c:ptCount val="1"/>
                <c:pt idx="0">
                  <c:v>아시아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'기타작업-2'!$A$3:$A$8</c:f>
              <c:strCache>
                <c:ptCount val="6"/>
                <c:pt idx="0">
                  <c:v>직영점</c:v>
                </c:pt>
                <c:pt idx="1">
                  <c:v>가맹점</c:v>
                </c:pt>
                <c:pt idx="2">
                  <c:v>유통</c:v>
                </c:pt>
                <c:pt idx="3">
                  <c:v>온라인</c:v>
                </c:pt>
                <c:pt idx="4">
                  <c:v>광고</c:v>
                </c:pt>
                <c:pt idx="5">
                  <c:v>기타</c:v>
                </c:pt>
              </c:strCache>
            </c:strRef>
          </c:cat>
          <c:val>
            <c:numRef>
              <c:f>'기타작업-2'!$D$3:$D$8</c:f>
              <c:numCache>
                <c:formatCode>_(* #,##0_);_(* \(#,##0\);_(* "-"_);_(@_)</c:formatCode>
                <c:ptCount val="6"/>
                <c:pt idx="0">
                  <c:v>10325</c:v>
                </c:pt>
                <c:pt idx="1">
                  <c:v>50533</c:v>
                </c:pt>
                <c:pt idx="2">
                  <c:v>16153</c:v>
                </c:pt>
                <c:pt idx="3">
                  <c:v>9145</c:v>
                </c:pt>
                <c:pt idx="4">
                  <c:v>7795</c:v>
                </c:pt>
                <c:pt idx="5">
                  <c:v>15562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02-4647-B491-A3AE6439FB49}"/>
            </c:ext>
          </c:extLst>
        </c:ser>
        <c:ser>
          <c:idx val="2"/>
          <c:order val="2"/>
          <c:tx>
            <c:strRef>
              <c:f>'기타작업-2'!$E$2</c:f>
              <c:strCache>
                <c:ptCount val="1"/>
                <c:pt idx="0">
                  <c:v>유럽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'기타작업-2'!$A$3:$A$8</c:f>
              <c:strCache>
                <c:ptCount val="6"/>
                <c:pt idx="0">
                  <c:v>직영점</c:v>
                </c:pt>
                <c:pt idx="1">
                  <c:v>가맹점</c:v>
                </c:pt>
                <c:pt idx="2">
                  <c:v>유통</c:v>
                </c:pt>
                <c:pt idx="3">
                  <c:v>온라인</c:v>
                </c:pt>
                <c:pt idx="4">
                  <c:v>광고</c:v>
                </c:pt>
                <c:pt idx="5">
                  <c:v>기타</c:v>
                </c:pt>
              </c:strCache>
            </c:strRef>
          </c:cat>
          <c:val>
            <c:numRef>
              <c:f>'기타작업-2'!$E$3:$E$8</c:f>
              <c:numCache>
                <c:formatCode>_(* #,##0_);_(* \(#,##0\);_(* "-"_);_(@_)</c:formatCode>
                <c:ptCount val="6"/>
                <c:pt idx="0">
                  <c:v>8578</c:v>
                </c:pt>
                <c:pt idx="1">
                  <c:v>44161</c:v>
                </c:pt>
                <c:pt idx="2">
                  <c:v>20668</c:v>
                </c:pt>
                <c:pt idx="3">
                  <c:v>7570</c:v>
                </c:pt>
                <c:pt idx="4">
                  <c:v>6680</c:v>
                </c:pt>
                <c:pt idx="5">
                  <c:v>13990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02-4647-B491-A3AE6439F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56847"/>
        <c:axId val="31861167"/>
      </c:lineChart>
      <c:catAx>
        <c:axId val="31856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861167"/>
        <c:crosses val="autoZero"/>
        <c:auto val="1"/>
        <c:lblAlgn val="ctr"/>
        <c:lblOffset val="100"/>
        <c:noMultiLvlLbl val="0"/>
      </c:catAx>
      <c:valAx>
        <c:axId val="3186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856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47625</xdr:rowOff>
        </xdr:from>
        <xdr:to>
          <xdr:col>5</xdr:col>
          <xdr:colOff>838200</xdr:colOff>
          <xdr:row>1</xdr:row>
          <xdr:rowOff>142875</xdr:rowOff>
        </xdr:to>
        <xdr:sp macro="" textlink="">
          <xdr:nvSpPr>
            <xdr:cNvPr id="2049" name="cmd신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/>
  <dimension ref="A1:H37"/>
  <sheetViews>
    <sheetView tabSelected="1" workbookViewId="0"/>
  </sheetViews>
  <sheetFormatPr defaultRowHeight="16.5" x14ac:dyDescent="0.3"/>
  <cols>
    <col min="1" max="1" width="6.5" bestFit="1" customWidth="1"/>
    <col min="2" max="2" width="10.25" customWidth="1"/>
    <col min="3" max="3" width="14.125" bestFit="1" customWidth="1"/>
    <col min="4" max="4" width="16.25" bestFit="1" customWidth="1"/>
    <col min="5" max="5" width="8.625" customWidth="1"/>
    <col min="6" max="6" width="10.25" customWidth="1"/>
    <col min="7" max="7" width="9.25" bestFit="1" customWidth="1"/>
    <col min="8" max="8" width="11.375" customWidth="1"/>
  </cols>
  <sheetData>
    <row r="1" spans="1:8" x14ac:dyDescent="0.3">
      <c r="A1" t="s">
        <v>98</v>
      </c>
    </row>
    <row r="2" spans="1:8" x14ac:dyDescent="0.3">
      <c r="A2" s="1" t="s">
        <v>99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100</v>
      </c>
      <c r="H2" s="3" t="s">
        <v>5</v>
      </c>
    </row>
    <row r="3" spans="1:8" x14ac:dyDescent="0.3">
      <c r="A3" s="4">
        <v>1</v>
      </c>
      <c r="B3" s="5" t="s">
        <v>6</v>
      </c>
      <c r="C3" s="5" t="s">
        <v>7</v>
      </c>
      <c r="D3" s="5" t="s">
        <v>8</v>
      </c>
      <c r="E3" s="5" t="s">
        <v>9</v>
      </c>
      <c r="F3" s="5">
        <v>3.9</v>
      </c>
      <c r="G3" s="5">
        <v>1</v>
      </c>
      <c r="H3" s="6">
        <v>95000</v>
      </c>
    </row>
    <row r="4" spans="1:8" x14ac:dyDescent="0.3">
      <c r="A4" s="4">
        <v>2</v>
      </c>
      <c r="B4" s="5" t="s">
        <v>10</v>
      </c>
      <c r="C4" s="5" t="s">
        <v>11</v>
      </c>
      <c r="D4" s="5" t="s">
        <v>12</v>
      </c>
      <c r="E4" s="5" t="s">
        <v>13</v>
      </c>
      <c r="F4" s="5">
        <v>3.3</v>
      </c>
      <c r="G4" s="5">
        <v>4</v>
      </c>
      <c r="H4" s="6">
        <v>0</v>
      </c>
    </row>
    <row r="5" spans="1:8" x14ac:dyDescent="0.3">
      <c r="A5" s="4">
        <v>3</v>
      </c>
      <c r="B5" s="5" t="s">
        <v>14</v>
      </c>
      <c r="C5" s="5" t="s">
        <v>15</v>
      </c>
      <c r="D5" s="5" t="s">
        <v>16</v>
      </c>
      <c r="E5" s="5" t="s">
        <v>17</v>
      </c>
      <c r="F5" s="5">
        <v>4.8</v>
      </c>
      <c r="G5" s="5">
        <v>2</v>
      </c>
      <c r="H5" s="6">
        <v>190000</v>
      </c>
    </row>
    <row r="6" spans="1:8" x14ac:dyDescent="0.3">
      <c r="A6" s="4">
        <v>4</v>
      </c>
      <c r="B6" s="5" t="s">
        <v>18</v>
      </c>
      <c r="C6" s="5" t="s">
        <v>19</v>
      </c>
      <c r="D6" s="5" t="s">
        <v>20</v>
      </c>
      <c r="E6" s="5" t="s">
        <v>21</v>
      </c>
      <c r="F6" s="5">
        <v>4.7</v>
      </c>
      <c r="G6" s="5">
        <v>7</v>
      </c>
      <c r="H6" s="6">
        <v>525000</v>
      </c>
    </row>
    <row r="7" spans="1:8" x14ac:dyDescent="0.3">
      <c r="A7" s="4">
        <v>5</v>
      </c>
      <c r="B7" s="5" t="s">
        <v>22</v>
      </c>
      <c r="C7" s="5" t="s">
        <v>23</v>
      </c>
      <c r="D7" s="5" t="s">
        <v>24</v>
      </c>
      <c r="E7" s="5" t="s">
        <v>9</v>
      </c>
      <c r="F7" s="5">
        <v>3.9</v>
      </c>
      <c r="G7" s="5">
        <v>4</v>
      </c>
      <c r="H7" s="6">
        <v>380000</v>
      </c>
    </row>
    <row r="8" spans="1:8" x14ac:dyDescent="0.3">
      <c r="A8" s="4">
        <v>6</v>
      </c>
      <c r="B8" s="5" t="s">
        <v>25</v>
      </c>
      <c r="C8" s="5" t="s">
        <v>26</v>
      </c>
      <c r="D8" s="5" t="s">
        <v>27</v>
      </c>
      <c r="E8" s="5" t="s">
        <v>28</v>
      </c>
      <c r="F8" s="5">
        <v>4.5999999999999996</v>
      </c>
      <c r="G8" s="5">
        <v>1</v>
      </c>
      <c r="H8" s="6">
        <v>95000</v>
      </c>
    </row>
    <row r="9" spans="1:8" x14ac:dyDescent="0.3">
      <c r="A9" s="4">
        <v>7</v>
      </c>
      <c r="B9" s="5" t="s">
        <v>29</v>
      </c>
      <c r="C9" s="5" t="s">
        <v>30</v>
      </c>
      <c r="D9" s="5" t="s">
        <v>31</v>
      </c>
      <c r="E9" s="5" t="s">
        <v>17</v>
      </c>
      <c r="F9" s="5">
        <v>4.0999999999999996</v>
      </c>
      <c r="G9" s="5">
        <v>0</v>
      </c>
      <c r="H9" s="6">
        <v>0</v>
      </c>
    </row>
    <row r="10" spans="1:8" x14ac:dyDescent="0.3">
      <c r="A10" s="4">
        <v>8</v>
      </c>
      <c r="B10" s="5" t="s">
        <v>32</v>
      </c>
      <c r="C10" s="5" t="s">
        <v>33</v>
      </c>
      <c r="D10" s="5" t="s">
        <v>34</v>
      </c>
      <c r="E10" s="5" t="s">
        <v>13</v>
      </c>
      <c r="F10" s="5">
        <v>4.7</v>
      </c>
      <c r="G10" s="5">
        <v>2</v>
      </c>
      <c r="H10" s="6">
        <v>190000</v>
      </c>
    </row>
    <row r="11" spans="1:8" x14ac:dyDescent="0.3">
      <c r="A11" s="4">
        <v>9</v>
      </c>
      <c r="B11" s="5" t="s">
        <v>35</v>
      </c>
      <c r="C11" s="5" t="s">
        <v>36</v>
      </c>
      <c r="D11" s="5" t="s">
        <v>37</v>
      </c>
      <c r="E11" s="5" t="s">
        <v>28</v>
      </c>
      <c r="F11" s="5">
        <v>3.5</v>
      </c>
      <c r="G11" s="5">
        <v>4</v>
      </c>
      <c r="H11" s="6">
        <v>380000</v>
      </c>
    </row>
    <row r="12" spans="1:8" x14ac:dyDescent="0.3">
      <c r="A12" s="4">
        <v>10</v>
      </c>
      <c r="B12" s="5" t="s">
        <v>38</v>
      </c>
      <c r="C12" s="5" t="s">
        <v>39</v>
      </c>
      <c r="D12" s="5" t="s">
        <v>40</v>
      </c>
      <c r="E12" s="5" t="s">
        <v>17</v>
      </c>
      <c r="F12" s="5">
        <v>3.9</v>
      </c>
      <c r="G12" s="5">
        <v>2</v>
      </c>
      <c r="H12" s="6">
        <v>190000</v>
      </c>
    </row>
    <row r="13" spans="1:8" x14ac:dyDescent="0.3">
      <c r="A13" s="4">
        <v>11</v>
      </c>
      <c r="B13" s="5" t="s">
        <v>41</v>
      </c>
      <c r="C13" s="5" t="s">
        <v>42</v>
      </c>
      <c r="D13" s="5" t="s">
        <v>43</v>
      </c>
      <c r="E13" s="5" t="s">
        <v>9</v>
      </c>
      <c r="F13" s="5">
        <v>5.2</v>
      </c>
      <c r="G13" s="5">
        <v>6</v>
      </c>
      <c r="H13" s="6">
        <v>450000</v>
      </c>
    </row>
    <row r="14" spans="1:8" x14ac:dyDescent="0.3">
      <c r="A14" s="4">
        <v>12</v>
      </c>
      <c r="B14" s="5" t="s">
        <v>44</v>
      </c>
      <c r="C14" s="5" t="s">
        <v>45</v>
      </c>
      <c r="D14" s="5" t="s">
        <v>46</v>
      </c>
      <c r="E14" s="5" t="s">
        <v>17</v>
      </c>
      <c r="F14" s="5">
        <v>3.3</v>
      </c>
      <c r="G14" s="5">
        <v>6</v>
      </c>
      <c r="H14" s="6">
        <v>0</v>
      </c>
    </row>
    <row r="15" spans="1:8" x14ac:dyDescent="0.3">
      <c r="A15" s="4">
        <v>13</v>
      </c>
      <c r="B15" s="5" t="s">
        <v>47</v>
      </c>
      <c r="C15" s="5" t="s">
        <v>48</v>
      </c>
      <c r="D15" s="5" t="s">
        <v>49</v>
      </c>
      <c r="E15" s="5" t="s">
        <v>9</v>
      </c>
      <c r="F15" s="5">
        <v>4</v>
      </c>
      <c r="G15" s="5">
        <v>7</v>
      </c>
      <c r="H15" s="6">
        <v>525000</v>
      </c>
    </row>
    <row r="16" spans="1:8" x14ac:dyDescent="0.3">
      <c r="A16" s="4">
        <v>14</v>
      </c>
      <c r="B16" s="5" t="s">
        <v>50</v>
      </c>
      <c r="C16" s="5" t="s">
        <v>51</v>
      </c>
      <c r="D16" s="5" t="s">
        <v>52</v>
      </c>
      <c r="E16" s="5" t="s">
        <v>9</v>
      </c>
      <c r="F16" s="5">
        <v>4.8</v>
      </c>
      <c r="G16" s="5">
        <v>6</v>
      </c>
      <c r="H16" s="6">
        <v>450000</v>
      </c>
    </row>
    <row r="17" spans="1:8" x14ac:dyDescent="0.3">
      <c r="A17" s="4">
        <v>15</v>
      </c>
      <c r="B17" s="5" t="s">
        <v>53</v>
      </c>
      <c r="C17" s="5" t="s">
        <v>54</v>
      </c>
      <c r="D17" s="5" t="s">
        <v>55</v>
      </c>
      <c r="E17" s="5" t="s">
        <v>21</v>
      </c>
      <c r="F17" s="5">
        <v>5.4</v>
      </c>
      <c r="G17" s="5">
        <v>1</v>
      </c>
      <c r="H17" s="6">
        <v>95000</v>
      </c>
    </row>
    <row r="18" spans="1:8" x14ac:dyDescent="0.3">
      <c r="A18" s="4">
        <v>16</v>
      </c>
      <c r="B18" s="5" t="s">
        <v>56</v>
      </c>
      <c r="C18" s="5" t="s">
        <v>57</v>
      </c>
      <c r="D18" s="5" t="s">
        <v>58</v>
      </c>
      <c r="E18" s="5" t="s">
        <v>17</v>
      </c>
      <c r="F18" s="5">
        <v>5.0999999999999996</v>
      </c>
      <c r="G18" s="5">
        <v>4</v>
      </c>
      <c r="H18" s="6">
        <v>380000</v>
      </c>
    </row>
    <row r="19" spans="1:8" x14ac:dyDescent="0.3">
      <c r="A19" s="4">
        <v>17</v>
      </c>
      <c r="B19" s="5" t="s">
        <v>59</v>
      </c>
      <c r="C19" s="5" t="s">
        <v>60</v>
      </c>
      <c r="D19" s="5" t="s">
        <v>61</v>
      </c>
      <c r="E19" s="5" t="s">
        <v>28</v>
      </c>
      <c r="F19" s="5">
        <v>3.9</v>
      </c>
      <c r="G19" s="5">
        <v>7</v>
      </c>
      <c r="H19" s="6">
        <v>525000</v>
      </c>
    </row>
    <row r="20" spans="1:8" x14ac:dyDescent="0.3">
      <c r="A20" s="4">
        <v>18</v>
      </c>
      <c r="B20" s="5" t="s">
        <v>62</v>
      </c>
      <c r="C20" s="5" t="s">
        <v>63</v>
      </c>
      <c r="D20" s="5" t="s">
        <v>64</v>
      </c>
      <c r="E20" s="5" t="s">
        <v>21</v>
      </c>
      <c r="F20" s="5">
        <v>5.5</v>
      </c>
      <c r="G20" s="5">
        <v>4</v>
      </c>
      <c r="H20" s="6">
        <v>380000</v>
      </c>
    </row>
    <row r="21" spans="1:8" x14ac:dyDescent="0.3">
      <c r="A21" s="4">
        <v>19</v>
      </c>
      <c r="B21" s="5" t="s">
        <v>65</v>
      </c>
      <c r="C21" s="5" t="s">
        <v>66</v>
      </c>
      <c r="D21" s="5" t="s">
        <v>67</v>
      </c>
      <c r="E21" s="5" t="s">
        <v>28</v>
      </c>
      <c r="F21" s="5">
        <v>3.3</v>
      </c>
      <c r="G21" s="5">
        <v>0</v>
      </c>
      <c r="H21" s="6">
        <v>0</v>
      </c>
    </row>
    <row r="22" spans="1:8" x14ac:dyDescent="0.3">
      <c r="A22" s="4">
        <v>20</v>
      </c>
      <c r="B22" s="5" t="s">
        <v>68</v>
      </c>
      <c r="C22" s="5" t="s">
        <v>69</v>
      </c>
      <c r="D22" s="5" t="s">
        <v>70</v>
      </c>
      <c r="E22" s="5" t="s">
        <v>9</v>
      </c>
      <c r="F22" s="5">
        <v>4.5</v>
      </c>
      <c r="G22" s="5">
        <v>5</v>
      </c>
      <c r="H22" s="6">
        <v>375000</v>
      </c>
    </row>
    <row r="23" spans="1:8" x14ac:dyDescent="0.3">
      <c r="A23" s="4">
        <v>21</v>
      </c>
      <c r="B23" s="5" t="s">
        <v>71</v>
      </c>
      <c r="C23" s="5" t="s">
        <v>72</v>
      </c>
      <c r="D23" s="5" t="s">
        <v>73</v>
      </c>
      <c r="E23" s="5" t="s">
        <v>17</v>
      </c>
      <c r="F23" s="5">
        <v>3.3</v>
      </c>
      <c r="G23" s="5">
        <v>6</v>
      </c>
      <c r="H23" s="6">
        <v>0</v>
      </c>
    </row>
    <row r="24" spans="1:8" x14ac:dyDescent="0.3">
      <c r="A24" s="4">
        <v>22</v>
      </c>
      <c r="B24" s="5" t="s">
        <v>74</v>
      </c>
      <c r="C24" s="5" t="s">
        <v>75</v>
      </c>
      <c r="D24" s="5" t="s">
        <v>76</v>
      </c>
      <c r="E24" s="5" t="s">
        <v>9</v>
      </c>
      <c r="F24" s="5">
        <v>4.2</v>
      </c>
      <c r="G24" s="5">
        <v>2</v>
      </c>
      <c r="H24" s="6">
        <v>190000</v>
      </c>
    </row>
    <row r="25" spans="1:8" x14ac:dyDescent="0.3">
      <c r="A25" s="4">
        <v>23</v>
      </c>
      <c r="B25" s="5" t="s">
        <v>77</v>
      </c>
      <c r="C25" s="5" t="s">
        <v>78</v>
      </c>
      <c r="D25" s="5" t="s">
        <v>79</v>
      </c>
      <c r="E25" s="5" t="s">
        <v>9</v>
      </c>
      <c r="F25" s="5">
        <v>5</v>
      </c>
      <c r="G25" s="5">
        <v>3</v>
      </c>
      <c r="H25" s="6">
        <v>285000</v>
      </c>
    </row>
    <row r="26" spans="1:8" x14ac:dyDescent="0.3">
      <c r="A26" s="4">
        <v>24</v>
      </c>
      <c r="B26" s="5" t="s">
        <v>80</v>
      </c>
      <c r="C26" s="5" t="s">
        <v>81</v>
      </c>
      <c r="D26" s="5" t="s">
        <v>82</v>
      </c>
      <c r="E26" s="5" t="s">
        <v>17</v>
      </c>
      <c r="F26" s="5">
        <v>3.8</v>
      </c>
      <c r="G26" s="5">
        <v>5</v>
      </c>
      <c r="H26" s="6">
        <v>375000</v>
      </c>
    </row>
    <row r="27" spans="1:8" x14ac:dyDescent="0.3">
      <c r="A27" s="4">
        <v>25</v>
      </c>
      <c r="B27" s="5" t="s">
        <v>83</v>
      </c>
      <c r="C27" s="5" t="s">
        <v>84</v>
      </c>
      <c r="D27" s="5" t="s">
        <v>85</v>
      </c>
      <c r="E27" s="5" t="s">
        <v>17</v>
      </c>
      <c r="F27" s="5">
        <v>2.7</v>
      </c>
      <c r="G27" s="5">
        <v>5</v>
      </c>
      <c r="H27" s="6">
        <v>0</v>
      </c>
    </row>
    <row r="28" spans="1:8" x14ac:dyDescent="0.3">
      <c r="A28" s="4">
        <v>26</v>
      </c>
      <c r="B28" s="5" t="s">
        <v>86</v>
      </c>
      <c r="C28" s="5" t="s">
        <v>87</v>
      </c>
      <c r="D28" s="5" t="s">
        <v>88</v>
      </c>
      <c r="E28" s="5" t="s">
        <v>21</v>
      </c>
      <c r="F28" s="5">
        <v>5.4</v>
      </c>
      <c r="G28" s="5">
        <v>2</v>
      </c>
      <c r="H28" s="6">
        <v>190000</v>
      </c>
    </row>
    <row r="29" spans="1:8" x14ac:dyDescent="0.3">
      <c r="A29" s="4">
        <v>27</v>
      </c>
      <c r="B29" s="5" t="s">
        <v>89</v>
      </c>
      <c r="C29" s="5" t="s">
        <v>90</v>
      </c>
      <c r="D29" s="5" t="s">
        <v>91</v>
      </c>
      <c r="E29" s="5" t="s">
        <v>28</v>
      </c>
      <c r="F29" s="5">
        <v>3.9</v>
      </c>
      <c r="G29" s="5">
        <v>1</v>
      </c>
      <c r="H29" s="6">
        <v>95000</v>
      </c>
    </row>
    <row r="30" spans="1:8" x14ac:dyDescent="0.3">
      <c r="A30" s="4">
        <v>28</v>
      </c>
      <c r="B30" s="5" t="s">
        <v>92</v>
      </c>
      <c r="C30" s="5" t="s">
        <v>93</v>
      </c>
      <c r="D30" s="5" t="s">
        <v>94</v>
      </c>
      <c r="E30" s="5" t="s">
        <v>9</v>
      </c>
      <c r="F30" s="5">
        <v>4.7</v>
      </c>
      <c r="G30" s="5">
        <v>5</v>
      </c>
      <c r="H30" s="6">
        <v>375000</v>
      </c>
    </row>
    <row r="31" spans="1:8" x14ac:dyDescent="0.3">
      <c r="A31" s="4">
        <v>29</v>
      </c>
      <c r="B31" s="5" t="s">
        <v>95</v>
      </c>
      <c r="C31" s="5" t="s">
        <v>96</v>
      </c>
      <c r="D31" s="5" t="s">
        <v>97</v>
      </c>
      <c r="E31" s="5" t="s">
        <v>9</v>
      </c>
      <c r="F31" s="5">
        <v>5.2</v>
      </c>
      <c r="G31" s="5">
        <v>0</v>
      </c>
      <c r="H31" s="6">
        <v>0</v>
      </c>
    </row>
    <row r="32" spans="1:8" x14ac:dyDescent="0.3">
      <c r="A32" s="4">
        <v>30</v>
      </c>
      <c r="B32" s="5" t="s">
        <v>41</v>
      </c>
      <c r="C32" s="5" t="s">
        <v>42</v>
      </c>
      <c r="D32" s="5" t="s">
        <v>43</v>
      </c>
      <c r="E32" s="5" t="s">
        <v>9</v>
      </c>
      <c r="F32" s="5">
        <v>5.2</v>
      </c>
      <c r="G32" s="5">
        <v>6</v>
      </c>
      <c r="H32" s="6">
        <v>450000</v>
      </c>
    </row>
    <row r="33" spans="1:8" x14ac:dyDescent="0.3">
      <c r="A33" s="4">
        <v>31</v>
      </c>
      <c r="B33" s="5" t="s">
        <v>44</v>
      </c>
      <c r="C33" s="5" t="s">
        <v>45</v>
      </c>
      <c r="D33" s="5" t="s">
        <v>46</v>
      </c>
      <c r="E33" s="5" t="s">
        <v>17</v>
      </c>
      <c r="F33" s="5">
        <v>3.3</v>
      </c>
      <c r="G33" s="5">
        <v>6</v>
      </c>
      <c r="H33" s="6">
        <v>0</v>
      </c>
    </row>
    <row r="34" spans="1:8" x14ac:dyDescent="0.3">
      <c r="A34" s="4">
        <v>32</v>
      </c>
      <c r="B34" s="5" t="s">
        <v>47</v>
      </c>
      <c r="C34" s="5" t="s">
        <v>48</v>
      </c>
      <c r="D34" s="5" t="s">
        <v>49</v>
      </c>
      <c r="E34" s="5" t="s">
        <v>9</v>
      </c>
      <c r="F34" s="5">
        <v>4</v>
      </c>
      <c r="G34" s="5">
        <v>7</v>
      </c>
      <c r="H34" s="6">
        <v>525000</v>
      </c>
    </row>
    <row r="35" spans="1:8" x14ac:dyDescent="0.3">
      <c r="A35" s="4">
        <v>33</v>
      </c>
      <c r="B35" s="5" t="s">
        <v>50</v>
      </c>
      <c r="C35" s="5" t="s">
        <v>51</v>
      </c>
      <c r="D35" s="5" t="s">
        <v>52</v>
      </c>
      <c r="E35" s="5" t="s">
        <v>9</v>
      </c>
      <c r="F35" s="5">
        <v>4.8</v>
      </c>
      <c r="G35" s="5">
        <v>6</v>
      </c>
      <c r="H35" s="6">
        <v>450000</v>
      </c>
    </row>
    <row r="36" spans="1:8" x14ac:dyDescent="0.3">
      <c r="A36" s="4">
        <v>34</v>
      </c>
      <c r="B36" s="5" t="s">
        <v>53</v>
      </c>
      <c r="C36" s="5" t="s">
        <v>54</v>
      </c>
      <c r="D36" s="5" t="s">
        <v>55</v>
      </c>
      <c r="E36" s="5" t="s">
        <v>21</v>
      </c>
      <c r="F36" s="5">
        <v>5.4</v>
      </c>
      <c r="G36" s="5">
        <v>1</v>
      </c>
      <c r="H36" s="6">
        <v>95000</v>
      </c>
    </row>
    <row r="37" spans="1:8" x14ac:dyDescent="0.3">
      <c r="A37" s="4">
        <v>35</v>
      </c>
      <c r="B37" s="5" t="s">
        <v>56</v>
      </c>
      <c r="C37" s="5" t="s">
        <v>57</v>
      </c>
      <c r="D37" s="5" t="s">
        <v>58</v>
      </c>
      <c r="E37" s="5" t="s">
        <v>17</v>
      </c>
      <c r="F37" s="5">
        <v>5.0999999999999996</v>
      </c>
      <c r="G37" s="5">
        <v>4</v>
      </c>
      <c r="H37" s="6">
        <v>380000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3"/>
  <dimension ref="A1:I40"/>
  <sheetViews>
    <sheetView workbookViewId="0"/>
  </sheetViews>
  <sheetFormatPr defaultRowHeight="16.5" x14ac:dyDescent="0.3"/>
  <cols>
    <col min="1" max="1" width="9" bestFit="1" customWidth="1"/>
    <col min="2" max="2" width="13" bestFit="1" customWidth="1"/>
    <col min="3" max="3" width="7.75" customWidth="1"/>
    <col min="4" max="4" width="16" customWidth="1"/>
    <col min="5" max="5" width="13" customWidth="1"/>
    <col min="6" max="6" width="7.75" bestFit="1" customWidth="1"/>
    <col min="7" max="8" width="9" bestFit="1" customWidth="1"/>
    <col min="9" max="9" width="12.25" customWidth="1"/>
  </cols>
  <sheetData>
    <row r="1" spans="1:9" x14ac:dyDescent="0.3">
      <c r="A1" t="s">
        <v>98</v>
      </c>
    </row>
    <row r="2" spans="1:9" x14ac:dyDescent="0.3">
      <c r="A2" s="4" t="s">
        <v>0</v>
      </c>
      <c r="B2" s="7" t="s">
        <v>113</v>
      </c>
      <c r="C2" s="4" t="s">
        <v>1</v>
      </c>
      <c r="D2" s="4" t="s">
        <v>2</v>
      </c>
      <c r="E2" s="7" t="s">
        <v>114</v>
      </c>
      <c r="F2" s="4" t="s">
        <v>3</v>
      </c>
      <c r="G2" s="4" t="s">
        <v>4</v>
      </c>
      <c r="H2" s="4" t="s">
        <v>100</v>
      </c>
      <c r="I2" s="7" t="s">
        <v>5</v>
      </c>
    </row>
    <row r="3" spans="1:9" x14ac:dyDescent="0.3">
      <c r="A3" s="4" t="s">
        <v>6</v>
      </c>
      <c r="B3" s="4"/>
      <c r="C3" s="4" t="s">
        <v>7</v>
      </c>
      <c r="D3" s="4" t="s">
        <v>8</v>
      </c>
      <c r="E3" s="8"/>
      <c r="F3" s="4" t="s">
        <v>9</v>
      </c>
      <c r="G3" s="9">
        <v>3.9</v>
      </c>
      <c r="H3" s="9">
        <v>1</v>
      </c>
      <c r="I3" s="10"/>
    </row>
    <row r="4" spans="1:9" x14ac:dyDescent="0.3">
      <c r="A4" s="4" t="s">
        <v>10</v>
      </c>
      <c r="B4" s="4"/>
      <c r="C4" s="4" t="s">
        <v>11</v>
      </c>
      <c r="D4" s="4" t="s">
        <v>12</v>
      </c>
      <c r="E4" s="8"/>
      <c r="F4" s="4" t="s">
        <v>13</v>
      </c>
      <c r="G4" s="9">
        <v>3.3</v>
      </c>
      <c r="H4" s="9">
        <v>4</v>
      </c>
      <c r="I4" s="10"/>
    </row>
    <row r="5" spans="1:9" x14ac:dyDescent="0.3">
      <c r="A5" s="4" t="s">
        <v>14</v>
      </c>
      <c r="B5" s="4"/>
      <c r="C5" s="4" t="s">
        <v>15</v>
      </c>
      <c r="D5" s="4" t="s">
        <v>16</v>
      </c>
      <c r="E5" s="8"/>
      <c r="F5" s="4" t="s">
        <v>17</v>
      </c>
      <c r="G5" s="9">
        <v>4.8</v>
      </c>
      <c r="H5" s="9">
        <v>2</v>
      </c>
      <c r="I5" s="10"/>
    </row>
    <row r="6" spans="1:9" x14ac:dyDescent="0.3">
      <c r="A6" s="4" t="s">
        <v>18</v>
      </c>
      <c r="B6" s="4"/>
      <c r="C6" s="4" t="s">
        <v>19</v>
      </c>
      <c r="D6" s="4" t="s">
        <v>20</v>
      </c>
      <c r="E6" s="8"/>
      <c r="F6" s="4" t="s">
        <v>21</v>
      </c>
      <c r="G6" s="9">
        <v>4.7</v>
      </c>
      <c r="H6" s="9">
        <v>7</v>
      </c>
      <c r="I6" s="10"/>
    </row>
    <row r="7" spans="1:9" x14ac:dyDescent="0.3">
      <c r="A7" s="4" t="s">
        <v>22</v>
      </c>
      <c r="B7" s="4"/>
      <c r="C7" s="4" t="s">
        <v>23</v>
      </c>
      <c r="D7" s="4" t="s">
        <v>24</v>
      </c>
      <c r="E7" s="8"/>
      <c r="F7" s="4" t="s">
        <v>9</v>
      </c>
      <c r="G7" s="9">
        <v>3.9</v>
      </c>
      <c r="H7" s="9">
        <v>4</v>
      </c>
      <c r="I7" s="10"/>
    </row>
    <row r="8" spans="1:9" x14ac:dyDescent="0.3">
      <c r="A8" s="4" t="s">
        <v>25</v>
      </c>
      <c r="B8" s="4"/>
      <c r="C8" s="4" t="s">
        <v>26</v>
      </c>
      <c r="D8" s="4" t="s">
        <v>27</v>
      </c>
      <c r="E8" s="8"/>
      <c r="F8" s="4" t="s">
        <v>28</v>
      </c>
      <c r="G8" s="9">
        <v>4.5999999999999996</v>
      </c>
      <c r="H8" s="9">
        <v>1</v>
      </c>
      <c r="I8" s="10"/>
    </row>
    <row r="9" spans="1:9" x14ac:dyDescent="0.3">
      <c r="A9" s="4" t="s">
        <v>29</v>
      </c>
      <c r="B9" s="4"/>
      <c r="C9" s="4" t="s">
        <v>30</v>
      </c>
      <c r="D9" s="4" t="s">
        <v>31</v>
      </c>
      <c r="E9" s="8"/>
      <c r="F9" s="4" t="s">
        <v>17</v>
      </c>
      <c r="G9" s="9">
        <v>4.0999999999999996</v>
      </c>
      <c r="H9" s="9">
        <v>0</v>
      </c>
      <c r="I9" s="10"/>
    </row>
    <row r="10" spans="1:9" x14ac:dyDescent="0.3">
      <c r="A10" s="4" t="s">
        <v>32</v>
      </c>
      <c r="B10" s="4"/>
      <c r="C10" s="4" t="s">
        <v>33</v>
      </c>
      <c r="D10" s="4" t="s">
        <v>34</v>
      </c>
      <c r="E10" s="8"/>
      <c r="F10" s="4" t="s">
        <v>13</v>
      </c>
      <c r="G10" s="9">
        <v>4.7</v>
      </c>
      <c r="H10" s="9">
        <v>2</v>
      </c>
      <c r="I10" s="10"/>
    </row>
    <row r="11" spans="1:9" x14ac:dyDescent="0.3">
      <c r="A11" s="4" t="s">
        <v>35</v>
      </c>
      <c r="B11" s="4"/>
      <c r="C11" s="4" t="s">
        <v>36</v>
      </c>
      <c r="D11" s="4" t="s">
        <v>37</v>
      </c>
      <c r="E11" s="8"/>
      <c r="F11" s="4" t="s">
        <v>28</v>
      </c>
      <c r="G11" s="9">
        <v>3.5</v>
      </c>
      <c r="H11" s="9">
        <v>4</v>
      </c>
      <c r="I11" s="10"/>
    </row>
    <row r="12" spans="1:9" x14ac:dyDescent="0.3">
      <c r="A12" s="4" t="s">
        <v>38</v>
      </c>
      <c r="B12" s="4"/>
      <c r="C12" s="4" t="s">
        <v>39</v>
      </c>
      <c r="D12" s="4" t="s">
        <v>40</v>
      </c>
      <c r="E12" s="8"/>
      <c r="F12" s="4" t="s">
        <v>17</v>
      </c>
      <c r="G12" s="9">
        <v>3.9</v>
      </c>
      <c r="H12" s="9">
        <v>2</v>
      </c>
      <c r="I12" s="10"/>
    </row>
    <row r="13" spans="1:9" x14ac:dyDescent="0.3">
      <c r="A13" s="4" t="s">
        <v>41</v>
      </c>
      <c r="B13" s="4"/>
      <c r="C13" s="4" t="s">
        <v>42</v>
      </c>
      <c r="D13" s="4" t="s">
        <v>43</v>
      </c>
      <c r="E13" s="8"/>
      <c r="F13" s="4" t="s">
        <v>9</v>
      </c>
      <c r="G13" s="9">
        <v>5.2</v>
      </c>
      <c r="H13" s="9">
        <v>6</v>
      </c>
      <c r="I13" s="10"/>
    </row>
    <row r="14" spans="1:9" x14ac:dyDescent="0.3">
      <c r="A14" s="4" t="s">
        <v>44</v>
      </c>
      <c r="B14" s="4"/>
      <c r="C14" s="4" t="s">
        <v>45</v>
      </c>
      <c r="D14" s="4" t="s">
        <v>46</v>
      </c>
      <c r="E14" s="8"/>
      <c r="F14" s="4" t="s">
        <v>17</v>
      </c>
      <c r="G14" s="9">
        <v>3.3</v>
      </c>
      <c r="H14" s="9">
        <v>6</v>
      </c>
      <c r="I14" s="10"/>
    </row>
    <row r="15" spans="1:9" x14ac:dyDescent="0.3">
      <c r="A15" s="4" t="s">
        <v>47</v>
      </c>
      <c r="B15" s="4"/>
      <c r="C15" s="4" t="s">
        <v>48</v>
      </c>
      <c r="D15" s="4" t="s">
        <v>49</v>
      </c>
      <c r="E15" s="8"/>
      <c r="F15" s="4" t="s">
        <v>9</v>
      </c>
      <c r="G15" s="9">
        <v>4</v>
      </c>
      <c r="H15" s="9">
        <v>7</v>
      </c>
      <c r="I15" s="10"/>
    </row>
    <row r="16" spans="1:9" x14ac:dyDescent="0.3">
      <c r="A16" s="4" t="s">
        <v>50</v>
      </c>
      <c r="B16" s="4"/>
      <c r="C16" s="4" t="s">
        <v>51</v>
      </c>
      <c r="D16" s="4" t="s">
        <v>52</v>
      </c>
      <c r="E16" s="8"/>
      <c r="F16" s="4" t="s">
        <v>9</v>
      </c>
      <c r="G16" s="9">
        <v>4.8</v>
      </c>
      <c r="H16" s="9">
        <v>6</v>
      </c>
      <c r="I16" s="10"/>
    </row>
    <row r="17" spans="1:9" x14ac:dyDescent="0.3">
      <c r="A17" s="4" t="s">
        <v>53</v>
      </c>
      <c r="B17" s="4"/>
      <c r="C17" s="4" t="s">
        <v>54</v>
      </c>
      <c r="D17" s="4" t="s">
        <v>55</v>
      </c>
      <c r="E17" s="8"/>
      <c r="F17" s="4" t="s">
        <v>21</v>
      </c>
      <c r="G17" s="9">
        <v>5.4</v>
      </c>
      <c r="H17" s="9">
        <v>1</v>
      </c>
      <c r="I17" s="10"/>
    </row>
    <row r="18" spans="1:9" x14ac:dyDescent="0.3">
      <c r="A18" s="4" t="s">
        <v>56</v>
      </c>
      <c r="B18" s="4"/>
      <c r="C18" s="4" t="s">
        <v>57</v>
      </c>
      <c r="D18" s="4" t="s">
        <v>58</v>
      </c>
      <c r="E18" s="8"/>
      <c r="F18" s="4" t="s">
        <v>17</v>
      </c>
      <c r="G18" s="9">
        <v>5.0999999999999996</v>
      </c>
      <c r="H18" s="9">
        <v>4</v>
      </c>
      <c r="I18" s="10"/>
    </row>
    <row r="19" spans="1:9" x14ac:dyDescent="0.3">
      <c r="A19" s="4" t="s">
        <v>59</v>
      </c>
      <c r="B19" s="4"/>
      <c r="C19" s="4" t="s">
        <v>60</v>
      </c>
      <c r="D19" s="4" t="s">
        <v>61</v>
      </c>
      <c r="E19" s="8"/>
      <c r="F19" s="4" t="s">
        <v>28</v>
      </c>
      <c r="G19" s="9">
        <v>5.8</v>
      </c>
      <c r="H19" s="9">
        <v>7</v>
      </c>
      <c r="I19" s="10"/>
    </row>
    <row r="20" spans="1:9" x14ac:dyDescent="0.3">
      <c r="A20" s="4" t="s">
        <v>62</v>
      </c>
      <c r="B20" s="4"/>
      <c r="C20" s="4" t="s">
        <v>63</v>
      </c>
      <c r="D20" s="4" t="s">
        <v>64</v>
      </c>
      <c r="E20" s="8"/>
      <c r="F20" s="4" t="s">
        <v>21</v>
      </c>
      <c r="G20" s="9">
        <v>3.9</v>
      </c>
      <c r="H20" s="9">
        <v>4</v>
      </c>
      <c r="I20" s="10"/>
    </row>
    <row r="21" spans="1:9" x14ac:dyDescent="0.3">
      <c r="A21" s="4" t="s">
        <v>65</v>
      </c>
      <c r="B21" s="4"/>
      <c r="C21" s="4" t="s">
        <v>66</v>
      </c>
      <c r="D21" s="4" t="s">
        <v>67</v>
      </c>
      <c r="E21" s="8"/>
      <c r="F21" s="4" t="s">
        <v>28</v>
      </c>
      <c r="G21" s="9">
        <v>5.4</v>
      </c>
      <c r="H21" s="9">
        <v>0</v>
      </c>
      <c r="I21" s="10"/>
    </row>
    <row r="22" spans="1:9" x14ac:dyDescent="0.3">
      <c r="A22" s="4" t="s">
        <v>68</v>
      </c>
      <c r="B22" s="4"/>
      <c r="C22" s="4" t="s">
        <v>69</v>
      </c>
      <c r="D22" s="4" t="s">
        <v>70</v>
      </c>
      <c r="E22" s="8"/>
      <c r="F22" s="4" t="s">
        <v>9</v>
      </c>
      <c r="G22" s="9">
        <v>4.5</v>
      </c>
      <c r="H22" s="9">
        <v>5</v>
      </c>
      <c r="I22" s="10"/>
    </row>
    <row r="23" spans="1:9" x14ac:dyDescent="0.3">
      <c r="A23" s="4" t="s">
        <v>71</v>
      </c>
      <c r="B23" s="4"/>
      <c r="C23" s="4" t="s">
        <v>72</v>
      </c>
      <c r="D23" s="4" t="s">
        <v>73</v>
      </c>
      <c r="E23" s="8"/>
      <c r="F23" s="4" t="s">
        <v>17</v>
      </c>
      <c r="G23" s="9">
        <v>3.3</v>
      </c>
      <c r="H23" s="9">
        <v>6</v>
      </c>
      <c r="I23" s="10"/>
    </row>
    <row r="24" spans="1:9" x14ac:dyDescent="0.3">
      <c r="A24" s="4" t="s">
        <v>74</v>
      </c>
      <c r="B24" s="4"/>
      <c r="C24" s="4" t="s">
        <v>75</v>
      </c>
      <c r="D24" s="4" t="s">
        <v>76</v>
      </c>
      <c r="E24" s="8"/>
      <c r="F24" s="4" t="s">
        <v>9</v>
      </c>
      <c r="G24" s="9">
        <v>4.2</v>
      </c>
      <c r="H24" s="9">
        <v>2</v>
      </c>
      <c r="I24" s="10"/>
    </row>
    <row r="25" spans="1:9" x14ac:dyDescent="0.3">
      <c r="A25" s="4" t="s">
        <v>77</v>
      </c>
      <c r="B25" s="4"/>
      <c r="C25" s="4" t="s">
        <v>78</v>
      </c>
      <c r="D25" s="4" t="s">
        <v>79</v>
      </c>
      <c r="E25" s="8"/>
      <c r="F25" s="4" t="s">
        <v>9</v>
      </c>
      <c r="G25" s="9">
        <v>5</v>
      </c>
      <c r="H25" s="9">
        <v>3</v>
      </c>
      <c r="I25" s="10"/>
    </row>
    <row r="26" spans="1:9" x14ac:dyDescent="0.3">
      <c r="A26" s="4" t="s">
        <v>80</v>
      </c>
      <c r="B26" s="4"/>
      <c r="C26" s="4" t="s">
        <v>81</v>
      </c>
      <c r="D26" s="4" t="s">
        <v>82</v>
      </c>
      <c r="E26" s="8"/>
      <c r="F26" s="4" t="s">
        <v>17</v>
      </c>
      <c r="G26" s="9">
        <v>3.8</v>
      </c>
      <c r="H26" s="9">
        <v>5</v>
      </c>
      <c r="I26" s="10"/>
    </row>
    <row r="27" spans="1:9" x14ac:dyDescent="0.3">
      <c r="A27" s="4" t="s">
        <v>83</v>
      </c>
      <c r="B27" s="4"/>
      <c r="C27" s="4" t="s">
        <v>84</v>
      </c>
      <c r="D27" s="4" t="s">
        <v>85</v>
      </c>
      <c r="E27" s="8"/>
      <c r="F27" s="4" t="s">
        <v>17</v>
      </c>
      <c r="G27" s="9">
        <v>2.7</v>
      </c>
      <c r="H27" s="9">
        <v>5</v>
      </c>
      <c r="I27" s="10"/>
    </row>
    <row r="28" spans="1:9" x14ac:dyDescent="0.3">
      <c r="A28" s="4" t="s">
        <v>86</v>
      </c>
      <c r="B28" s="4"/>
      <c r="C28" s="4" t="s">
        <v>87</v>
      </c>
      <c r="D28" s="4" t="s">
        <v>88</v>
      </c>
      <c r="E28" s="8"/>
      <c r="F28" s="4" t="s">
        <v>21</v>
      </c>
      <c r="G28" s="9">
        <v>5.4</v>
      </c>
      <c r="H28" s="9">
        <v>2</v>
      </c>
      <c r="I28" s="10"/>
    </row>
    <row r="29" spans="1:9" x14ac:dyDescent="0.3">
      <c r="A29" s="4" t="s">
        <v>89</v>
      </c>
      <c r="B29" s="4"/>
      <c r="C29" s="4" t="s">
        <v>90</v>
      </c>
      <c r="D29" s="4" t="s">
        <v>91</v>
      </c>
      <c r="E29" s="8"/>
      <c r="F29" s="4" t="s">
        <v>28</v>
      </c>
      <c r="G29" s="9">
        <v>3.9</v>
      </c>
      <c r="H29" s="9">
        <v>1</v>
      </c>
      <c r="I29" s="10"/>
    </row>
    <row r="30" spans="1:9" x14ac:dyDescent="0.3">
      <c r="A30" s="4" t="s">
        <v>92</v>
      </c>
      <c r="B30" s="4"/>
      <c r="C30" s="4" t="s">
        <v>93</v>
      </c>
      <c r="D30" s="4" t="s">
        <v>94</v>
      </c>
      <c r="E30" s="8"/>
      <c r="F30" s="4" t="s">
        <v>13</v>
      </c>
      <c r="G30" s="9">
        <v>5.2</v>
      </c>
      <c r="H30" s="9">
        <v>5</v>
      </c>
      <c r="I30" s="10"/>
    </row>
    <row r="31" spans="1:9" x14ac:dyDescent="0.3">
      <c r="A31" s="4" t="s">
        <v>95</v>
      </c>
      <c r="B31" s="4"/>
      <c r="C31" s="4" t="s">
        <v>96</v>
      </c>
      <c r="D31" s="4" t="s">
        <v>97</v>
      </c>
      <c r="E31" s="8"/>
      <c r="F31" s="4" t="s">
        <v>9</v>
      </c>
      <c r="G31" s="9">
        <v>5.2</v>
      </c>
      <c r="H31" s="9">
        <v>0</v>
      </c>
      <c r="I31" s="10"/>
    </row>
    <row r="33" spans="1:9" x14ac:dyDescent="0.3">
      <c r="A33" t="s">
        <v>115</v>
      </c>
      <c r="C33" t="s">
        <v>116</v>
      </c>
      <c r="H33" t="s">
        <v>117</v>
      </c>
    </row>
    <row r="34" spans="1:9" x14ac:dyDescent="0.3">
      <c r="A34" s="4" t="s">
        <v>118</v>
      </c>
      <c r="B34" s="4" t="s">
        <v>113</v>
      </c>
      <c r="C34" s="22" t="s">
        <v>3</v>
      </c>
      <c r="D34" s="11">
        <v>3</v>
      </c>
      <c r="E34" s="11">
        <v>4</v>
      </c>
      <c r="F34" s="11">
        <v>5</v>
      </c>
      <c r="H34" s="4" t="s">
        <v>3</v>
      </c>
      <c r="I34" s="7" t="s">
        <v>119</v>
      </c>
    </row>
    <row r="35" spans="1:9" x14ac:dyDescent="0.3">
      <c r="A35" s="4" t="s">
        <v>101</v>
      </c>
      <c r="B35" s="4" t="s">
        <v>102</v>
      </c>
      <c r="C35" s="23"/>
      <c r="D35" s="12">
        <v>3.9</v>
      </c>
      <c r="E35" s="12">
        <v>4.9000000000000004</v>
      </c>
      <c r="F35" s="12">
        <v>5.9</v>
      </c>
      <c r="H35" s="4" t="s">
        <v>9</v>
      </c>
      <c r="I35" s="4"/>
    </row>
    <row r="36" spans="1:9" x14ac:dyDescent="0.3">
      <c r="A36" s="4" t="s">
        <v>103</v>
      </c>
      <c r="B36" s="4" t="s">
        <v>104</v>
      </c>
      <c r="C36" s="4" t="s">
        <v>9</v>
      </c>
      <c r="D36" s="13"/>
      <c r="E36" s="13"/>
      <c r="F36" s="13"/>
      <c r="H36" s="4" t="s">
        <v>17</v>
      </c>
      <c r="I36" s="4"/>
    </row>
    <row r="37" spans="1:9" x14ac:dyDescent="0.3">
      <c r="A37" s="4" t="s">
        <v>105</v>
      </c>
      <c r="B37" s="4" t="s">
        <v>106</v>
      </c>
      <c r="C37" s="4" t="s">
        <v>17</v>
      </c>
      <c r="D37" s="13"/>
      <c r="E37" s="13"/>
      <c r="F37" s="13"/>
      <c r="H37" s="4" t="s">
        <v>13</v>
      </c>
      <c r="I37" s="4"/>
    </row>
    <row r="38" spans="1:9" x14ac:dyDescent="0.3">
      <c r="A38" s="4" t="s">
        <v>107</v>
      </c>
      <c r="B38" s="4" t="s">
        <v>108</v>
      </c>
      <c r="C38" s="4" t="s">
        <v>13</v>
      </c>
      <c r="D38" s="13"/>
      <c r="E38" s="13"/>
      <c r="F38" s="13"/>
      <c r="H38" s="4" t="s">
        <v>28</v>
      </c>
      <c r="I38" s="4"/>
    </row>
    <row r="39" spans="1:9" x14ac:dyDescent="0.3">
      <c r="A39" s="4" t="s">
        <v>109</v>
      </c>
      <c r="B39" s="4" t="s">
        <v>110</v>
      </c>
      <c r="C39" s="4" t="s">
        <v>28</v>
      </c>
      <c r="D39" s="13"/>
      <c r="E39" s="13"/>
      <c r="F39" s="13"/>
      <c r="H39" s="4" t="s">
        <v>21</v>
      </c>
      <c r="I39" s="4"/>
    </row>
    <row r="40" spans="1:9" x14ac:dyDescent="0.3">
      <c r="A40" s="4" t="s">
        <v>111</v>
      </c>
      <c r="B40" s="4" t="s">
        <v>112</v>
      </c>
      <c r="C40" s="4" t="s">
        <v>21</v>
      </c>
      <c r="D40" s="13"/>
      <c r="E40" s="13"/>
      <c r="F40" s="13"/>
    </row>
  </sheetData>
  <mergeCells count="1">
    <mergeCell ref="C34:C3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4"/>
  <dimension ref="A1"/>
  <sheetViews>
    <sheetView workbookViewId="0"/>
  </sheetViews>
  <sheetFormatPr defaultRowHeight="16.5" x14ac:dyDescent="0.3"/>
  <cols>
    <col min="1" max="1" width="2.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5"/>
  <dimension ref="A1:K23"/>
  <sheetViews>
    <sheetView workbookViewId="0"/>
  </sheetViews>
  <sheetFormatPr defaultRowHeight="16.5" x14ac:dyDescent="0.3"/>
  <sheetData>
    <row r="1" spans="1:11" x14ac:dyDescent="0.3">
      <c r="A1" s="14" t="s">
        <v>98</v>
      </c>
      <c r="B1" s="14"/>
    </row>
    <row r="2" spans="1:11" x14ac:dyDescent="0.3">
      <c r="A2" s="4" t="s">
        <v>1</v>
      </c>
      <c r="B2" s="4" t="s">
        <v>151</v>
      </c>
      <c r="C2" s="4" t="s">
        <v>120</v>
      </c>
      <c r="D2" s="4" t="s">
        <v>121</v>
      </c>
      <c r="E2" s="4" t="s">
        <v>122</v>
      </c>
      <c r="F2" s="4" t="s">
        <v>123</v>
      </c>
      <c r="H2" s="25" t="s">
        <v>124</v>
      </c>
      <c r="I2" s="25"/>
      <c r="J2" s="25"/>
      <c r="K2" s="25"/>
    </row>
    <row r="3" spans="1:11" x14ac:dyDescent="0.3">
      <c r="A3" s="4" t="s">
        <v>125</v>
      </c>
      <c r="B3" s="4" t="s">
        <v>152</v>
      </c>
      <c r="C3" s="9">
        <v>76</v>
      </c>
      <c r="D3" s="9">
        <v>97</v>
      </c>
      <c r="E3" s="9">
        <v>96</v>
      </c>
      <c r="F3" s="13">
        <f t="shared" ref="F3:F23" si="0">SUMPRODUCT(C3:E3,$I$4:$K$4)</f>
        <v>92.4</v>
      </c>
      <c r="H3" s="7" t="s">
        <v>126</v>
      </c>
      <c r="I3" s="7" t="s">
        <v>127</v>
      </c>
      <c r="J3" s="7" t="s">
        <v>128</v>
      </c>
      <c r="K3" s="7" t="s">
        <v>129</v>
      </c>
    </row>
    <row r="4" spans="1:11" x14ac:dyDescent="0.3">
      <c r="A4" s="4" t="s">
        <v>130</v>
      </c>
      <c r="B4" s="4" t="s">
        <v>152</v>
      </c>
      <c r="C4" s="9">
        <v>80</v>
      </c>
      <c r="D4" s="9">
        <v>83</v>
      </c>
      <c r="E4" s="9">
        <v>93</v>
      </c>
      <c r="F4" s="13">
        <f t="shared" si="0"/>
        <v>86.4</v>
      </c>
      <c r="H4" s="4" t="s">
        <v>131</v>
      </c>
      <c r="I4" s="15">
        <v>0.2</v>
      </c>
      <c r="J4" s="15">
        <v>0.4</v>
      </c>
      <c r="K4" s="15">
        <v>0.4</v>
      </c>
    </row>
    <row r="5" spans="1:11" x14ac:dyDescent="0.3">
      <c r="A5" s="4" t="s">
        <v>132</v>
      </c>
      <c r="B5" s="4" t="s">
        <v>153</v>
      </c>
      <c r="C5" s="9">
        <v>100</v>
      </c>
      <c r="D5" s="9">
        <v>80</v>
      </c>
      <c r="E5" s="9">
        <v>90</v>
      </c>
      <c r="F5" s="13">
        <f t="shared" si="0"/>
        <v>88</v>
      </c>
    </row>
    <row r="6" spans="1:11" x14ac:dyDescent="0.3">
      <c r="A6" s="4" t="s">
        <v>133</v>
      </c>
      <c r="B6" s="4" t="s">
        <v>153</v>
      </c>
      <c r="C6" s="9">
        <v>93</v>
      </c>
      <c r="D6" s="9">
        <v>93</v>
      </c>
      <c r="E6" s="9">
        <v>74</v>
      </c>
      <c r="F6" s="13">
        <f t="shared" si="0"/>
        <v>85.4</v>
      </c>
    </row>
    <row r="7" spans="1:11" x14ac:dyDescent="0.3">
      <c r="A7" s="4" t="s">
        <v>134</v>
      </c>
      <c r="B7" s="4" t="s">
        <v>154</v>
      </c>
      <c r="C7" s="9">
        <v>100</v>
      </c>
      <c r="D7" s="9">
        <v>84</v>
      </c>
      <c r="E7" s="9">
        <v>90</v>
      </c>
      <c r="F7" s="13">
        <f t="shared" si="0"/>
        <v>89.6</v>
      </c>
    </row>
    <row r="8" spans="1:11" x14ac:dyDescent="0.3">
      <c r="A8" s="4" t="s">
        <v>135</v>
      </c>
      <c r="B8" s="4" t="s">
        <v>155</v>
      </c>
      <c r="C8" s="9">
        <v>100</v>
      </c>
      <c r="D8" s="9">
        <v>96</v>
      </c>
      <c r="E8" s="9">
        <v>91</v>
      </c>
      <c r="F8" s="13">
        <f t="shared" si="0"/>
        <v>94.800000000000011</v>
      </c>
    </row>
    <row r="9" spans="1:11" x14ac:dyDescent="0.3">
      <c r="A9" s="4" t="s">
        <v>136</v>
      </c>
      <c r="B9" s="4" t="s">
        <v>155</v>
      </c>
      <c r="C9" s="9">
        <v>91</v>
      </c>
      <c r="D9" s="9">
        <v>80</v>
      </c>
      <c r="E9" s="9">
        <v>96</v>
      </c>
      <c r="F9" s="13">
        <f t="shared" si="0"/>
        <v>88.600000000000009</v>
      </c>
    </row>
    <row r="10" spans="1:11" x14ac:dyDescent="0.3">
      <c r="A10" s="4" t="s">
        <v>137</v>
      </c>
      <c r="B10" s="4" t="s">
        <v>154</v>
      </c>
      <c r="C10" s="9">
        <v>97</v>
      </c>
      <c r="D10" s="9">
        <v>84</v>
      </c>
      <c r="E10" s="9">
        <v>72</v>
      </c>
      <c r="F10" s="13">
        <f t="shared" si="0"/>
        <v>81.8</v>
      </c>
    </row>
    <row r="11" spans="1:11" x14ac:dyDescent="0.3">
      <c r="A11" s="4" t="s">
        <v>138</v>
      </c>
      <c r="B11" s="4" t="s">
        <v>153</v>
      </c>
      <c r="C11" s="9">
        <v>96</v>
      </c>
      <c r="D11" s="9">
        <v>91</v>
      </c>
      <c r="E11" s="9">
        <v>94</v>
      </c>
      <c r="F11" s="13">
        <f t="shared" si="0"/>
        <v>93.2</v>
      </c>
    </row>
    <row r="12" spans="1:11" x14ac:dyDescent="0.3">
      <c r="A12" s="4" t="s">
        <v>139</v>
      </c>
      <c r="B12" s="4" t="s">
        <v>154</v>
      </c>
      <c r="C12" s="9">
        <v>93</v>
      </c>
      <c r="D12" s="9">
        <v>91</v>
      </c>
      <c r="E12" s="9">
        <v>82</v>
      </c>
      <c r="F12" s="13">
        <f t="shared" si="0"/>
        <v>87.800000000000011</v>
      </c>
    </row>
    <row r="13" spans="1:11" x14ac:dyDescent="0.3">
      <c r="A13" s="4" t="s">
        <v>140</v>
      </c>
      <c r="B13" s="4" t="s">
        <v>153</v>
      </c>
      <c r="C13" s="9">
        <v>100</v>
      </c>
      <c r="D13" s="9">
        <v>100</v>
      </c>
      <c r="E13" s="9">
        <v>97</v>
      </c>
      <c r="F13" s="13">
        <f t="shared" si="0"/>
        <v>98.800000000000011</v>
      </c>
    </row>
    <row r="14" spans="1:11" x14ac:dyDescent="0.3">
      <c r="A14" s="4" t="s">
        <v>141</v>
      </c>
      <c r="B14" s="4" t="s">
        <v>153</v>
      </c>
      <c r="C14" s="9">
        <v>100</v>
      </c>
      <c r="D14" s="9">
        <v>75</v>
      </c>
      <c r="E14" s="9">
        <v>72</v>
      </c>
      <c r="F14" s="13">
        <f t="shared" si="0"/>
        <v>78.8</v>
      </c>
      <c r="H14" s="14"/>
    </row>
    <row r="15" spans="1:11" x14ac:dyDescent="0.3">
      <c r="A15" s="4" t="s">
        <v>142</v>
      </c>
      <c r="B15" s="4" t="s">
        <v>155</v>
      </c>
      <c r="C15" s="9">
        <v>100</v>
      </c>
      <c r="D15" s="9">
        <v>79</v>
      </c>
      <c r="E15" s="9">
        <v>80</v>
      </c>
      <c r="F15" s="13">
        <f t="shared" si="0"/>
        <v>83.6</v>
      </c>
      <c r="H15" s="14"/>
    </row>
    <row r="16" spans="1:11" x14ac:dyDescent="0.3">
      <c r="A16" s="4" t="s">
        <v>143</v>
      </c>
      <c r="B16" s="4" t="s">
        <v>155</v>
      </c>
      <c r="C16" s="9">
        <v>100</v>
      </c>
      <c r="D16" s="9">
        <v>79</v>
      </c>
      <c r="E16" s="9">
        <v>74</v>
      </c>
      <c r="F16" s="13">
        <f t="shared" si="0"/>
        <v>81.2</v>
      </c>
      <c r="H16" s="14"/>
    </row>
    <row r="17" spans="1:8" x14ac:dyDescent="0.3">
      <c r="A17" s="4" t="s">
        <v>144</v>
      </c>
      <c r="B17" s="4" t="s">
        <v>152</v>
      </c>
      <c r="C17" s="9">
        <v>86</v>
      </c>
      <c r="D17" s="9">
        <v>77</v>
      </c>
      <c r="E17" s="9">
        <v>91</v>
      </c>
      <c r="F17" s="13">
        <f t="shared" si="0"/>
        <v>84.4</v>
      </c>
      <c r="H17" s="14"/>
    </row>
    <row r="18" spans="1:8" x14ac:dyDescent="0.3">
      <c r="A18" s="4" t="s">
        <v>145</v>
      </c>
      <c r="B18" s="4" t="s">
        <v>152</v>
      </c>
      <c r="C18" s="9">
        <v>94</v>
      </c>
      <c r="D18" s="9">
        <v>95</v>
      </c>
      <c r="E18" s="9">
        <v>81</v>
      </c>
      <c r="F18" s="13">
        <f t="shared" si="0"/>
        <v>89.199999999999989</v>
      </c>
    </row>
    <row r="19" spans="1:8" x14ac:dyDescent="0.3">
      <c r="A19" s="4" t="s">
        <v>146</v>
      </c>
      <c r="B19" s="4" t="s">
        <v>155</v>
      </c>
      <c r="C19" s="9">
        <v>99</v>
      </c>
      <c r="D19" s="9">
        <v>92</v>
      </c>
      <c r="E19" s="9">
        <v>76</v>
      </c>
      <c r="F19" s="13">
        <f t="shared" si="0"/>
        <v>87.000000000000014</v>
      </c>
    </row>
    <row r="20" spans="1:8" x14ac:dyDescent="0.3">
      <c r="A20" s="4" t="s">
        <v>147</v>
      </c>
      <c r="B20" s="4" t="s">
        <v>154</v>
      </c>
      <c r="C20" s="9">
        <v>99</v>
      </c>
      <c r="D20" s="9">
        <v>75</v>
      </c>
      <c r="E20" s="9">
        <v>84</v>
      </c>
      <c r="F20" s="13">
        <f t="shared" si="0"/>
        <v>83.4</v>
      </c>
    </row>
    <row r="21" spans="1:8" x14ac:dyDescent="0.3">
      <c r="A21" s="4" t="s">
        <v>148</v>
      </c>
      <c r="B21" s="4" t="s">
        <v>155</v>
      </c>
      <c r="C21" s="9">
        <v>100</v>
      </c>
      <c r="D21" s="9">
        <v>77</v>
      </c>
      <c r="E21" s="9">
        <v>91</v>
      </c>
      <c r="F21" s="13">
        <f t="shared" si="0"/>
        <v>87.199999999999989</v>
      </c>
    </row>
    <row r="22" spans="1:8" x14ac:dyDescent="0.3">
      <c r="A22" s="4" t="s">
        <v>149</v>
      </c>
      <c r="B22" s="4" t="s">
        <v>154</v>
      </c>
      <c r="C22" s="9">
        <v>100</v>
      </c>
      <c r="D22" s="9">
        <v>97</v>
      </c>
      <c r="E22" s="9">
        <v>89</v>
      </c>
      <c r="F22" s="13">
        <f t="shared" si="0"/>
        <v>94.4</v>
      </c>
    </row>
    <row r="23" spans="1:8" x14ac:dyDescent="0.3">
      <c r="A23" s="4" t="s">
        <v>150</v>
      </c>
      <c r="B23" s="4" t="s">
        <v>152</v>
      </c>
      <c r="C23" s="9">
        <v>97</v>
      </c>
      <c r="D23" s="9">
        <v>90</v>
      </c>
      <c r="E23" s="9">
        <v>76</v>
      </c>
      <c r="F23" s="13">
        <f t="shared" si="0"/>
        <v>85.800000000000011</v>
      </c>
    </row>
  </sheetData>
  <mergeCells count="1">
    <mergeCell ref="H2:K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6"/>
  <dimension ref="A1:F19"/>
  <sheetViews>
    <sheetView workbookViewId="0">
      <selection sqref="A1:F1"/>
    </sheetView>
  </sheetViews>
  <sheetFormatPr defaultRowHeight="16.5" x14ac:dyDescent="0.3"/>
  <cols>
    <col min="3" max="3" width="10.125" bestFit="1" customWidth="1"/>
    <col min="4" max="4" width="13" bestFit="1" customWidth="1"/>
    <col min="5" max="5" width="13.875" bestFit="1" customWidth="1"/>
    <col min="6" max="6" width="11.375" bestFit="1" customWidth="1"/>
    <col min="7" max="7" width="2.625" customWidth="1"/>
    <col min="8" max="8" width="11.625" customWidth="1"/>
  </cols>
  <sheetData>
    <row r="1" spans="1:6" x14ac:dyDescent="0.3">
      <c r="A1" s="24" t="s">
        <v>193</v>
      </c>
      <c r="B1" s="24"/>
      <c r="C1" s="24"/>
      <c r="D1" s="24"/>
      <c r="E1" s="24"/>
      <c r="F1" s="24"/>
    </row>
    <row r="3" spans="1:6" x14ac:dyDescent="0.3">
      <c r="A3" s="4" t="s">
        <v>1</v>
      </c>
      <c r="B3" s="4" t="s">
        <v>156</v>
      </c>
      <c r="C3" s="4" t="s">
        <v>157</v>
      </c>
      <c r="D3" s="4" t="s">
        <v>158</v>
      </c>
      <c r="E3" s="4" t="s">
        <v>159</v>
      </c>
      <c r="F3" s="4" t="s">
        <v>194</v>
      </c>
    </row>
    <row r="4" spans="1:6" x14ac:dyDescent="0.3">
      <c r="A4" s="4" t="s">
        <v>160</v>
      </c>
      <c r="B4" s="4" t="s">
        <v>161</v>
      </c>
      <c r="C4" s="4" t="s">
        <v>195</v>
      </c>
      <c r="D4" s="16">
        <v>1201</v>
      </c>
      <c r="E4" s="4" t="s">
        <v>162</v>
      </c>
      <c r="F4" s="17">
        <v>150000</v>
      </c>
    </row>
    <row r="5" spans="1:6" x14ac:dyDescent="0.3">
      <c r="A5" s="4" t="s">
        <v>163</v>
      </c>
      <c r="B5" s="4" t="s">
        <v>164</v>
      </c>
      <c r="C5" s="4" t="s">
        <v>165</v>
      </c>
      <c r="D5" s="16">
        <v>21002</v>
      </c>
      <c r="E5" s="4" t="s">
        <v>166</v>
      </c>
      <c r="F5" s="17">
        <v>300000</v>
      </c>
    </row>
    <row r="6" spans="1:6" x14ac:dyDescent="0.3">
      <c r="A6" s="4" t="s">
        <v>167</v>
      </c>
      <c r="B6" s="4" t="s">
        <v>161</v>
      </c>
      <c r="C6" s="4" t="s">
        <v>168</v>
      </c>
      <c r="D6" s="16">
        <v>2103</v>
      </c>
      <c r="E6" s="4" t="s">
        <v>169</v>
      </c>
      <c r="F6" s="17">
        <v>170000</v>
      </c>
    </row>
    <row r="7" spans="1:6" x14ac:dyDescent="0.3">
      <c r="A7" s="4" t="s">
        <v>170</v>
      </c>
      <c r="B7" s="4" t="s">
        <v>161</v>
      </c>
      <c r="C7" s="4" t="s">
        <v>196</v>
      </c>
      <c r="D7" s="16">
        <v>2302</v>
      </c>
      <c r="E7" s="4" t="s">
        <v>162</v>
      </c>
      <c r="F7" s="17">
        <v>150000</v>
      </c>
    </row>
    <row r="8" spans="1:6" x14ac:dyDescent="0.3">
      <c r="A8" s="4" t="s">
        <v>171</v>
      </c>
      <c r="B8" s="4" t="s">
        <v>161</v>
      </c>
      <c r="C8" s="4" t="s">
        <v>172</v>
      </c>
      <c r="D8" s="16">
        <v>1101</v>
      </c>
      <c r="E8" s="4" t="s">
        <v>162</v>
      </c>
      <c r="F8" s="17">
        <v>150000</v>
      </c>
    </row>
    <row r="9" spans="1:6" x14ac:dyDescent="0.3">
      <c r="A9" s="4" t="s">
        <v>173</v>
      </c>
      <c r="B9" s="4" t="s">
        <v>174</v>
      </c>
      <c r="C9" s="4" t="s">
        <v>197</v>
      </c>
      <c r="D9" s="16">
        <v>2303</v>
      </c>
      <c r="E9" s="4" t="s">
        <v>162</v>
      </c>
      <c r="F9" s="17">
        <v>100000</v>
      </c>
    </row>
    <row r="10" spans="1:6" x14ac:dyDescent="0.3">
      <c r="A10" s="4" t="s">
        <v>175</v>
      </c>
      <c r="B10" s="4" t="s">
        <v>164</v>
      </c>
      <c r="C10" s="4" t="s">
        <v>198</v>
      </c>
      <c r="D10" s="16">
        <v>11303</v>
      </c>
      <c r="E10" s="4" t="s">
        <v>176</v>
      </c>
      <c r="F10" s="17">
        <v>250000</v>
      </c>
    </row>
    <row r="11" spans="1:6" x14ac:dyDescent="0.3">
      <c r="A11" s="4" t="s">
        <v>177</v>
      </c>
      <c r="B11" s="4" t="s">
        <v>164</v>
      </c>
      <c r="C11" s="4" t="s">
        <v>178</v>
      </c>
      <c r="D11" s="16">
        <v>31201</v>
      </c>
      <c r="E11" s="4" t="s">
        <v>166</v>
      </c>
      <c r="F11" s="17">
        <v>300000</v>
      </c>
    </row>
    <row r="12" spans="1:6" x14ac:dyDescent="0.3">
      <c r="A12" s="4" t="s">
        <v>179</v>
      </c>
      <c r="B12" s="4" t="s">
        <v>161</v>
      </c>
      <c r="C12" s="4" t="s">
        <v>199</v>
      </c>
      <c r="D12" s="16">
        <v>2203</v>
      </c>
      <c r="E12" s="4" t="s">
        <v>169</v>
      </c>
      <c r="F12" s="17">
        <v>170000</v>
      </c>
    </row>
    <row r="13" spans="1:6" x14ac:dyDescent="0.3">
      <c r="A13" s="4" t="s">
        <v>180</v>
      </c>
      <c r="B13" s="4" t="s">
        <v>164</v>
      </c>
      <c r="C13" s="4" t="s">
        <v>181</v>
      </c>
      <c r="D13" s="16">
        <v>31101</v>
      </c>
      <c r="E13" s="4" t="s">
        <v>176</v>
      </c>
      <c r="F13" s="17">
        <v>250000</v>
      </c>
    </row>
    <row r="14" spans="1:6" x14ac:dyDescent="0.3">
      <c r="A14" s="4" t="s">
        <v>182</v>
      </c>
      <c r="B14" s="4" t="s">
        <v>161</v>
      </c>
      <c r="C14" s="4" t="s">
        <v>183</v>
      </c>
      <c r="D14" s="16">
        <v>2102</v>
      </c>
      <c r="E14" s="4" t="s">
        <v>162</v>
      </c>
      <c r="F14" s="17">
        <v>150000</v>
      </c>
    </row>
    <row r="15" spans="1:6" x14ac:dyDescent="0.3">
      <c r="A15" s="4" t="s">
        <v>184</v>
      </c>
      <c r="B15" s="4" t="s">
        <v>174</v>
      </c>
      <c r="C15" s="4" t="s">
        <v>200</v>
      </c>
      <c r="D15" s="16">
        <v>1302</v>
      </c>
      <c r="E15" s="4" t="s">
        <v>185</v>
      </c>
      <c r="F15" s="17">
        <v>80000</v>
      </c>
    </row>
    <row r="16" spans="1:6" x14ac:dyDescent="0.3">
      <c r="A16" s="4" t="s">
        <v>186</v>
      </c>
      <c r="B16" s="4" t="s">
        <v>174</v>
      </c>
      <c r="C16" s="4" t="s">
        <v>187</v>
      </c>
      <c r="D16" s="16">
        <v>2301</v>
      </c>
      <c r="E16" s="4" t="s">
        <v>185</v>
      </c>
      <c r="F16" s="17">
        <v>80000</v>
      </c>
    </row>
    <row r="17" spans="1:6" x14ac:dyDescent="0.3">
      <c r="A17" s="4" t="s">
        <v>188</v>
      </c>
      <c r="B17" s="4" t="s">
        <v>174</v>
      </c>
      <c r="C17" s="4" t="s">
        <v>189</v>
      </c>
      <c r="D17" s="16">
        <v>1301</v>
      </c>
      <c r="E17" s="4" t="s">
        <v>185</v>
      </c>
      <c r="F17" s="17">
        <v>80000</v>
      </c>
    </row>
    <row r="18" spans="1:6" x14ac:dyDescent="0.3">
      <c r="A18" s="4" t="s">
        <v>190</v>
      </c>
      <c r="B18" s="4" t="s">
        <v>164</v>
      </c>
      <c r="C18" s="4" t="s">
        <v>201</v>
      </c>
      <c r="D18" s="16">
        <v>31104</v>
      </c>
      <c r="E18" s="4" t="s">
        <v>166</v>
      </c>
      <c r="F18" s="17">
        <v>300000</v>
      </c>
    </row>
    <row r="19" spans="1:6" x14ac:dyDescent="0.3">
      <c r="A19" s="4" t="s">
        <v>191</v>
      </c>
      <c r="B19" s="4" t="s">
        <v>174</v>
      </c>
      <c r="C19" s="4" t="s">
        <v>192</v>
      </c>
      <c r="D19" s="16">
        <v>3301</v>
      </c>
      <c r="E19" s="4" t="s">
        <v>185</v>
      </c>
      <c r="F19" s="17">
        <v>80000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7"/>
  <dimension ref="A1:E8"/>
  <sheetViews>
    <sheetView workbookViewId="0">
      <selection activeCell="K13" sqref="K13"/>
    </sheetView>
  </sheetViews>
  <sheetFormatPr defaultRowHeight="16.5" x14ac:dyDescent="0.3"/>
  <cols>
    <col min="2" max="2" width="11.5" customWidth="1"/>
    <col min="3" max="4" width="10.875" bestFit="1" customWidth="1"/>
    <col min="5" max="5" width="10.375" customWidth="1"/>
  </cols>
  <sheetData>
    <row r="1" spans="1:5" x14ac:dyDescent="0.3">
      <c r="E1" s="18" t="s">
        <v>202</v>
      </c>
    </row>
    <row r="2" spans="1:5" x14ac:dyDescent="0.3">
      <c r="A2" s="4" t="s">
        <v>209</v>
      </c>
      <c r="B2" s="4" t="s">
        <v>210</v>
      </c>
      <c r="C2" s="4" t="s">
        <v>211</v>
      </c>
      <c r="D2" s="4" t="s">
        <v>212</v>
      </c>
      <c r="E2" s="4" t="s">
        <v>110</v>
      </c>
    </row>
    <row r="3" spans="1:5" x14ac:dyDescent="0.3">
      <c r="A3" s="4" t="s">
        <v>203</v>
      </c>
      <c r="B3" s="19">
        <v>-0.02</v>
      </c>
      <c r="C3" s="20">
        <v>26857</v>
      </c>
      <c r="D3" s="20">
        <v>10325</v>
      </c>
      <c r="E3" s="20">
        <v>8578</v>
      </c>
    </row>
    <row r="4" spans="1:5" x14ac:dyDescent="0.3">
      <c r="A4" s="4" t="s">
        <v>204</v>
      </c>
      <c r="B4" s="19">
        <v>0.04</v>
      </c>
      <c r="C4" s="20">
        <v>128511</v>
      </c>
      <c r="D4" s="20">
        <v>50533</v>
      </c>
      <c r="E4" s="20">
        <v>44161</v>
      </c>
    </row>
    <row r="5" spans="1:5" x14ac:dyDescent="0.3">
      <c r="A5" s="4" t="s">
        <v>205</v>
      </c>
      <c r="B5" s="19">
        <v>0.08</v>
      </c>
      <c r="C5" s="20">
        <v>43574</v>
      </c>
      <c r="D5" s="20">
        <v>16153</v>
      </c>
      <c r="E5" s="20">
        <v>20668</v>
      </c>
    </row>
    <row r="6" spans="1:5" x14ac:dyDescent="0.3">
      <c r="A6" s="4" t="s">
        <v>206</v>
      </c>
      <c r="B6" s="19">
        <v>0.12</v>
      </c>
      <c r="C6" s="20">
        <v>25020</v>
      </c>
      <c r="D6" s="20">
        <v>9145</v>
      </c>
      <c r="E6" s="20">
        <v>7570</v>
      </c>
    </row>
    <row r="7" spans="1:5" x14ac:dyDescent="0.3">
      <c r="A7" s="4" t="s">
        <v>207</v>
      </c>
      <c r="B7" s="19">
        <v>0.01</v>
      </c>
      <c r="C7" s="20">
        <v>21771</v>
      </c>
      <c r="D7" s="20">
        <v>7795</v>
      </c>
      <c r="E7" s="20">
        <v>6680</v>
      </c>
    </row>
    <row r="8" spans="1:5" x14ac:dyDescent="0.3">
      <c r="A8" s="4" t="s">
        <v>208</v>
      </c>
      <c r="B8" s="19">
        <v>0.02</v>
      </c>
      <c r="C8" s="20">
        <v>47765</v>
      </c>
      <c r="D8" s="20">
        <v>15562</v>
      </c>
      <c r="E8" s="20">
        <v>13990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A2:H14"/>
  <sheetViews>
    <sheetView workbookViewId="0">
      <selection activeCell="G19" sqref="G19"/>
    </sheetView>
  </sheetViews>
  <sheetFormatPr defaultRowHeight="16.5" x14ac:dyDescent="0.3"/>
  <cols>
    <col min="1" max="1" width="10.875" customWidth="1"/>
    <col min="2" max="2" width="11.125" bestFit="1" customWidth="1"/>
    <col min="4" max="4" width="18" customWidth="1"/>
    <col min="5" max="5" width="10.5" customWidth="1"/>
    <col min="6" max="6" width="11.875" customWidth="1"/>
    <col min="8" max="8" width="17.625" customWidth="1"/>
  </cols>
  <sheetData>
    <row r="2" spans="1:8" x14ac:dyDescent="0.3">
      <c r="A2" t="s">
        <v>98</v>
      </c>
      <c r="H2" t="s">
        <v>115</v>
      </c>
    </row>
    <row r="3" spans="1:8" x14ac:dyDescent="0.3">
      <c r="A3" s="4" t="s">
        <v>217</v>
      </c>
      <c r="B3" s="4" t="s">
        <v>218</v>
      </c>
      <c r="C3" s="4" t="s">
        <v>219</v>
      </c>
      <c r="D3" s="4" t="s">
        <v>220</v>
      </c>
      <c r="E3" s="4" t="s">
        <v>221</v>
      </c>
      <c r="F3" s="4" t="s">
        <v>222</v>
      </c>
      <c r="H3" s="4" t="s">
        <v>220</v>
      </c>
    </row>
    <row r="4" spans="1:8" x14ac:dyDescent="0.3">
      <c r="A4" s="9" t="s">
        <v>213</v>
      </c>
      <c r="B4" s="21">
        <v>31919</v>
      </c>
      <c r="C4" s="9" t="s">
        <v>214</v>
      </c>
      <c r="D4" s="9" t="s">
        <v>215</v>
      </c>
      <c r="E4" s="9" t="s">
        <v>216</v>
      </c>
      <c r="F4" s="9">
        <v>3</v>
      </c>
      <c r="H4" s="4" t="s">
        <v>223</v>
      </c>
    </row>
    <row r="5" spans="1:8" x14ac:dyDescent="0.3">
      <c r="A5" s="9"/>
      <c r="B5" s="21"/>
      <c r="C5" s="9"/>
      <c r="D5" s="9"/>
      <c r="E5" s="9"/>
      <c r="F5" s="9"/>
      <c r="H5" s="4" t="s">
        <v>224</v>
      </c>
    </row>
    <row r="6" spans="1:8" x14ac:dyDescent="0.3">
      <c r="A6" s="9"/>
      <c r="B6" s="9"/>
      <c r="C6" s="9"/>
      <c r="D6" s="9"/>
      <c r="E6" s="9"/>
      <c r="F6" s="9"/>
      <c r="H6" s="4" t="s">
        <v>225</v>
      </c>
    </row>
    <row r="7" spans="1:8" x14ac:dyDescent="0.3">
      <c r="A7" s="9"/>
      <c r="B7" s="9"/>
      <c r="C7" s="9"/>
      <c r="D7" s="9"/>
      <c r="E7" s="9"/>
      <c r="F7" s="9"/>
      <c r="H7" s="4" t="s">
        <v>226</v>
      </c>
    </row>
    <row r="8" spans="1:8" x14ac:dyDescent="0.3">
      <c r="A8" s="9"/>
      <c r="B8" s="9"/>
      <c r="C8" s="9"/>
      <c r="D8" s="9"/>
      <c r="E8" s="9"/>
      <c r="F8" s="9"/>
      <c r="H8" s="4" t="s">
        <v>215</v>
      </c>
    </row>
    <row r="9" spans="1:8" x14ac:dyDescent="0.3">
      <c r="A9" s="9"/>
      <c r="B9" s="9"/>
      <c r="C9" s="9"/>
      <c r="D9" s="9"/>
      <c r="E9" s="9"/>
      <c r="F9" s="9"/>
      <c r="H9" s="4" t="s">
        <v>227</v>
      </c>
    </row>
    <row r="10" spans="1:8" x14ac:dyDescent="0.3">
      <c r="A10" s="9"/>
      <c r="B10" s="9"/>
      <c r="C10" s="9"/>
      <c r="D10" s="9"/>
      <c r="E10" s="9"/>
      <c r="F10" s="9"/>
      <c r="H10" s="4" t="s">
        <v>208</v>
      </c>
    </row>
    <row r="11" spans="1:8" x14ac:dyDescent="0.3">
      <c r="A11" s="9"/>
      <c r="B11" s="9"/>
      <c r="C11" s="9"/>
      <c r="D11" s="9"/>
      <c r="E11" s="9"/>
      <c r="F11" s="9"/>
    </row>
    <row r="12" spans="1:8" x14ac:dyDescent="0.3">
      <c r="A12" s="9"/>
      <c r="B12" s="9"/>
      <c r="C12" s="9"/>
      <c r="D12" s="9"/>
      <c r="E12" s="9"/>
      <c r="F12" s="9"/>
    </row>
    <row r="13" spans="1:8" x14ac:dyDescent="0.3">
      <c r="A13" s="9"/>
      <c r="B13" s="9"/>
      <c r="C13" s="9"/>
      <c r="D13" s="9"/>
      <c r="E13" s="9"/>
      <c r="F13" s="9"/>
    </row>
    <row r="14" spans="1:8" x14ac:dyDescent="0.3">
      <c r="A14" s="9"/>
      <c r="B14" s="9"/>
      <c r="C14" s="9"/>
      <c r="D14" s="9"/>
      <c r="E14" s="9"/>
      <c r="F14" s="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신청">
          <controlPr defaultSize="0" autoLine="0" r:id="rId4">
            <anchor moveWithCells="1">
              <from>
                <xdr:col>4</xdr:col>
                <xdr:colOff>523875</xdr:colOff>
                <xdr:row>0</xdr:row>
                <xdr:rowOff>47625</xdr:rowOff>
              </from>
              <to>
                <xdr:col>5</xdr:col>
                <xdr:colOff>838200</xdr:colOff>
                <xdr:row>1</xdr:row>
                <xdr:rowOff>142875</xdr:rowOff>
              </to>
            </anchor>
          </controlPr>
        </control>
      </mc:Choice>
      <mc:Fallback>
        <control shapeId="204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2023-07-14T11:40:39Z</dcterms:created>
  <dcterms:modified xsi:type="dcterms:W3CDTF">2023-11-21T08:09:06Z</dcterms:modified>
</cp:coreProperties>
</file>